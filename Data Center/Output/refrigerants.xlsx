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375297\Git\Python\EnergySystems\Data Center\refrigerant_data\"/>
    </mc:Choice>
  </mc:AlternateContent>
  <xr:revisionPtr revIDLastSave="0" documentId="13_ncr:1_{9642DE3D-F4A7-46A2-BF6C-083A73224F7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ldR" sheetId="1" r:id="rId1"/>
    <sheet name="OldC" sheetId="2" r:id="rId2"/>
    <sheet name="RefCompCost0.55" sheetId="3" r:id="rId3"/>
    <sheet name="CompCost0.55" sheetId="4" r:id="rId4"/>
    <sheet name="RefCompCost0.75" sheetId="5" r:id="rId5"/>
    <sheet name="CompCost0.75" sheetId="6" r:id="rId6"/>
    <sheet name="RefCompCost0.95" sheetId="7" r:id="rId7"/>
    <sheet name="CompCost0.9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5" l="1"/>
  <c r="S4" i="5"/>
  <c r="O2" i="5"/>
  <c r="O4" i="5"/>
  <c r="O3" i="5"/>
</calcChain>
</file>

<file path=xl/sharedStrings.xml><?xml version="1.0" encoding="utf-8"?>
<sst xmlns="http://schemas.openxmlformats.org/spreadsheetml/2006/main" count="440" uniqueCount="176">
  <si>
    <t>Media</t>
  </si>
  <si>
    <t>t CO2 eq.</t>
  </si>
  <si>
    <t>2Ø / 1Ø</t>
  </si>
  <si>
    <t>PFAS</t>
  </si>
  <si>
    <t>Ref. Class</t>
  </si>
  <si>
    <t>Psat @25°C (bar)</t>
  </si>
  <si>
    <t>Vlimit</t>
  </si>
  <si>
    <t>MW/m²</t>
  </si>
  <si>
    <t>P_@calc(bar)</t>
  </si>
  <si>
    <t>Pipe Diameter (mm)</t>
  </si>
  <si>
    <t>Pipe Thickness (mm)</t>
  </si>
  <si>
    <t>Pipe Tot. Cost (USD, 50m)</t>
  </si>
  <si>
    <t>Normalized cost</t>
  </si>
  <si>
    <t>INCOMP::MEG-25%</t>
  </si>
  <si>
    <t>1Ø</t>
  </si>
  <si>
    <t>No</t>
  </si>
  <si>
    <t>A1</t>
  </si>
  <si>
    <t>Water</t>
  </si>
  <si>
    <t>CO2</t>
  </si>
  <si>
    <t>2Ø</t>
  </si>
  <si>
    <t>Ammonia</t>
  </si>
  <si>
    <t>B2L</t>
  </si>
  <si>
    <t>R290</t>
  </si>
  <si>
    <t>A3</t>
  </si>
  <si>
    <t>R1234ze(E)</t>
  </si>
  <si>
    <t>Yes</t>
  </si>
  <si>
    <t>A2L</t>
  </si>
  <si>
    <t>R1233zd(E)</t>
  </si>
  <si>
    <t>B1</t>
  </si>
  <si>
    <t>R152a</t>
  </si>
  <si>
    <t>A2</t>
  </si>
  <si>
    <t>R32</t>
  </si>
  <si>
    <t>R134a</t>
  </si>
  <si>
    <t>Component</t>
  </si>
  <si>
    <t>Unit Price (EUR)</t>
  </si>
  <si>
    <t>Quantity/Length</t>
  </si>
  <si>
    <t>Total(EUR)</t>
  </si>
  <si>
    <t>Cost (INCOMP::MEG-25%)</t>
  </si>
  <si>
    <t>Cost (Water)</t>
  </si>
  <si>
    <t>Cost (CO2)</t>
  </si>
  <si>
    <t>Cost (Ammonia)</t>
  </si>
  <si>
    <t>Cost (R290)</t>
  </si>
  <si>
    <t>Cost (R1234ze(E))</t>
  </si>
  <si>
    <t>Cost (R1233zd(E))</t>
  </si>
  <si>
    <t>Cost (R152a)</t>
  </si>
  <si>
    <t>Cost (R32)</t>
  </si>
  <si>
    <t>Cost (R134a)</t>
  </si>
  <si>
    <t>DN100 Pipe</t>
  </si>
  <si>
    <t>DN50 Hose</t>
  </si>
  <si>
    <t>T-Joints</t>
  </si>
  <si>
    <t>Elbows DN100</t>
  </si>
  <si>
    <t>Main Isolation Valves DN100</t>
  </si>
  <si>
    <t>Rack Isolation Valves DN50</t>
  </si>
  <si>
    <t>Weld Neck Flanges DN100</t>
  </si>
  <si>
    <t>Total</t>
  </si>
  <si>
    <t>Item</t>
  </si>
  <si>
    <t>Specification / Size</t>
  </si>
  <si>
    <t>Quantity / Length</t>
  </si>
  <si>
    <t>Unit Price (Approx.)</t>
  </si>
  <si>
    <t>Subtotal (EUR)</t>
  </si>
  <si>
    <t>#</t>
  </si>
  <si>
    <t>Source</t>
  </si>
  <si>
    <t>Description</t>
  </si>
  <si>
    <t>Full URL</t>
  </si>
  <si>
    <t>Pipe</t>
  </si>
  <si>
    <t>DN 100, AISI 304, 35 meters</t>
  </si>
  <si>
    <t>35 meters</t>
  </si>
  <si>
    <t>€25/m</t>
  </si>
  <si>
    <t>Vijay Sales Corporation</t>
  </si>
  <si>
    <t>Jindal SS 304 Pipes: Price List and Benefits</t>
  </si>
  <si>
    <t>https://vijaysalescorp.com/jindal-ss304-pipes-price-list</t>
  </si>
  <si>
    <t>Pipe or Hose</t>
  </si>
  <si>
    <t>DN 50 to rack, 64 meters</t>
  </si>
  <si>
    <t>64 meters</t>
  </si>
  <si>
    <t>€5/m</t>
  </si>
  <si>
    <t>Integraflow</t>
  </si>
  <si>
    <t>DN100 Schedule 40S Stainless Welded Pipe 304</t>
  </si>
  <si>
    <t>https://integraflow.co.uk/shop/ss-pip-100-sch40s</t>
  </si>
  <si>
    <t>T-joints</t>
  </si>
  <si>
    <t>T 100-50-100, AISI 304</t>
  </si>
  <si>
    <t>32 pcs</t>
  </si>
  <si>
    <t>Alibaba</t>
  </si>
  <si>
    <t>Dn100 Sch120 Od114mm Stainless Steel Pipe 304</t>
  </si>
  <si>
    <t>https://alibaba.com/showroom/dn100-sch120-od114mm-stainless-steel-pipe-304</t>
  </si>
  <si>
    <t>Elbows (flanged)</t>
  </si>
  <si>
    <t>DN 100, AISI 304</t>
  </si>
  <si>
    <t>4 pcs</t>
  </si>
  <si>
    <t>Swienty A/S</t>
  </si>
  <si>
    <t>Hoses &amp; Fittings</t>
  </si>
  <si>
    <t>https://swientyfilling.com/pl/Accessories</t>
  </si>
  <si>
    <t>Main Isolation Valves</t>
  </si>
  <si>
    <t>DN 100</t>
  </si>
  <si>
    <t>8 pcs</t>
  </si>
  <si>
    <t>Alibaba Mobile</t>
  </si>
  <si>
    <t>Water hose pipe price list</t>
  </si>
  <si>
    <t>https://m.alibaba.com/showroom/water-hose-pipe-price-list</t>
  </si>
  <si>
    <t>Rack Isolation Valves</t>
  </si>
  <si>
    <t>DN 50</t>
  </si>
  <si>
    <t>Aisi 304 Tee</t>
  </si>
  <si>
    <t>https://alibaba.com/showroom/aisi-304-tee</t>
  </si>
  <si>
    <t>Weld Neck Flanges</t>
  </si>
  <si>
    <t>Made-in-China (Yuzheng Valve)</t>
  </si>
  <si>
    <t>DN100 Sanitary Stainless Steel Elbow</t>
  </si>
  <si>
    <t>https://yuzhengvalve.en.made-in-china.com/product/BywxMRDn100-Stainless-Steel-Elbow.html</t>
  </si>
  <si>
    <t>Navstar Steel</t>
  </si>
  <si>
    <t>Stainless Steel 304 Buttweld Fittings</t>
  </si>
  <si>
    <t>https://navstarsteel.com/stainless-steel-304-buttweld-fittings</t>
  </si>
  <si>
    <t>Aesteiron</t>
  </si>
  <si>
    <t>Stainless Steel 304 Pipe Fittings</t>
  </si>
  <si>
    <t>https://aesteiron.com/stainless-steel-304-pipe-fittings</t>
  </si>
  <si>
    <t>NieRuf</t>
  </si>
  <si>
    <t>Globe valve DN 100 Isolation plug</t>
  </si>
  <si>
    <t>https://nieruf.com/Globe-valve-DN100-AV04-Isolation-plug</t>
  </si>
  <si>
    <t>Teka</t>
  </si>
  <si>
    <t>Electro pneumatic isolating valves DN100</t>
  </si>
  <si>
    <t>https://teka.eu/en/Electro-pneumatic-isolating-valves-diam-100-mm</t>
  </si>
  <si>
    <t>Globe valve DN 50 Isolation plug</t>
  </si>
  <si>
    <t>https://nieruf.com/Globe-valve-DN50-AV02-SG-iron-Isolation-plug</t>
  </si>
  <si>
    <t>Sale Engineering Products Ltd</t>
  </si>
  <si>
    <t>SEP Priority Demand Valve – DN15-DN50</t>
  </si>
  <si>
    <t>https://firesprinkler.co.uk/product/sep-priority-demand-valve</t>
  </si>
  <si>
    <t>Pumpa Shop</t>
  </si>
  <si>
    <t>Welding neck flange DN100 PN6 DIN 2631</t>
  </si>
  <si>
    <t>https://pumpa.eu/en/welding-neck-flange-dn100-pn6-din-2631</t>
  </si>
  <si>
    <t>Made-in-China (JS Pipe)</t>
  </si>
  <si>
    <t>PE100 Pn16 50mm HDPE Pipe Price</t>
  </si>
  <si>
    <t>https://jspipe.en.made-in-china.com/product/IXVxcsPE100-Pn16-50mm-HDPE-Pipe.html</t>
  </si>
  <si>
    <t>Ahlsell</t>
  </si>
  <si>
    <t>T 100 Element for cover coupling</t>
  </si>
  <si>
    <t>https://ahlsell.dk/en/produkter/t-100-element-cover-coupling</t>
  </si>
  <si>
    <t>END Shop</t>
  </si>
  <si>
    <t>Weldneck flange neck DN100, PN16</t>
  </si>
  <si>
    <t>https://shop.end.de/en/fs000410</t>
  </si>
  <si>
    <t>HDPE Plumbing Trade</t>
  </si>
  <si>
    <t>Trade List Price February 2024</t>
  </si>
  <si>
    <t>https://hdpeplumbingtrade.co.za/wp-content/uploads/TRADE-LIST-PRICE-FEBRUARY-2024.pdf</t>
  </si>
  <si>
    <t>Stainless Europe</t>
  </si>
  <si>
    <t>Stainless steel seamless elbow DN100</t>
  </si>
  <si>
    <t>https://en.stainlesseurope.com/en_US/p/Stainless-steel-seamless-elbow-90-DN100</t>
  </si>
  <si>
    <t>Ball valve DN100, PN16, full bore</t>
  </si>
  <si>
    <t>https://shop.end.de/en/tf551010</t>
  </si>
  <si>
    <t>Scribd</t>
  </si>
  <si>
    <t>Cost Estimation - Piping and Bulk material</t>
  </si>
  <si>
    <t>https://scribd.com/document/80794765/Cost-Estimation-Piping-and-Bulk-material</t>
  </si>
  <si>
    <t>Made-in-China</t>
  </si>
  <si>
    <t>SUS304 Stainless Steel Pipe Sch10</t>
  </si>
  <si>
    <t>https://made-in-china.com/price/prodetail/SUS304-Stainless-Steel-Pipe-Sch10.html</t>
  </si>
  <si>
    <t>304 stainless steel pipe price kg</t>
  </si>
  <si>
    <t>https://alibaba.com/showroom/304-stainless-steel-pipe-price-kg</t>
  </si>
  <si>
    <t>Sts304 stainless steel pipe price</t>
  </si>
  <si>
    <t>https://alibaba.com/showroom/sts304-stainless-steel-pipe-price</t>
  </si>
  <si>
    <t>304 stainless steel pipe price ton</t>
  </si>
  <si>
    <t>https://alibaba.com/showroom/304-stainless-steel-pipe-price-ton</t>
  </si>
  <si>
    <t>316L Stainless Steel Pipe Price Per Meter</t>
  </si>
  <si>
    <t>https://alibaba.com/product-detail/316l-Stainless-Steel-Pipe-Price-Per-Meter-201.html</t>
  </si>
  <si>
    <t>304 stainless steel pipe price</t>
  </si>
  <si>
    <t>https://alibaba.com/showroom/304-stainless-steel-pipe-price</t>
  </si>
  <si>
    <t>SS Pipe Price List (SS 316, SS 304)</t>
  </si>
  <si>
    <t>https://scribd.com/document/451045678/SS-Pipe-Price-List-SS316-SS304.pdf</t>
  </si>
  <si>
    <t>Pipe Tot. Cost for *SS304* (USD, 1m)</t>
  </si>
  <si>
    <t>(INCOMP::MEG-25%)</t>
  </si>
  <si>
    <t>(Water)</t>
  </si>
  <si>
    <t>(CO2)</t>
  </si>
  <si>
    <t>(Ammonia)</t>
  </si>
  <si>
    <t>(R290)</t>
  </si>
  <si>
    <t>(R1234ze(E))</t>
  </si>
  <si>
    <t>(R1233zd(E))</t>
  </si>
  <si>
    <t>(R152a)</t>
  </si>
  <si>
    <t>(R32)</t>
  </si>
  <si>
    <t>(R134a)</t>
  </si>
  <si>
    <t>Total based on *SS304*</t>
  </si>
  <si>
    <t>Pipe Tot. Cost (USD, 1m)</t>
  </si>
  <si>
    <t>DN50</t>
  </si>
  <si>
    <t>DN125</t>
  </si>
  <si>
    <t>Area</t>
  </si>
  <si>
    <t>DN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</si>
</sst>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€-2]\ #,##0;[Red]\-[$€-2]\ #,##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2" fillId="0" borderId="2" xfId="1" applyNumberFormat="1" applyBorder="1" applyAlignment="1">
      <alignment vertical="center"/>
    </xf>
    <xf numFmtId="0" fontId="5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" fontId="5" fillId="0" borderId="3" xfId="0" applyNumberFormat="1" applyFont="1" applyBorder="1" applyAlignment="1">
      <alignment horizontal="center" vertical="top"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umpa.eu/en/welding-neck-flange-dn100-pn6-din-2631-114-3/" TargetMode="External"/><Relationship Id="rId1" Type="http://schemas.openxmlformats.org/officeDocument/2006/relationships/hyperlink" Target="https://www.alibaba.com/showroom/aisi-304-te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="160" zoomScaleNormal="160" workbookViewId="0">
      <selection activeCell="M12" sqref="A1:M12"/>
    </sheetView>
  </sheetViews>
  <sheetFormatPr defaultRowHeight="15" x14ac:dyDescent="0.25"/>
  <cols>
    <col min="1" max="1" width="19.42578125" style="3" customWidth="1"/>
    <col min="2" max="2" width="9" style="3" bestFit="1" customWidth="1"/>
    <col min="3" max="3" width="7.7109375" style="3" bestFit="1" customWidth="1"/>
    <col min="4" max="4" width="12.140625" style="3" bestFit="1" customWidth="1"/>
    <col min="5" max="5" width="9.140625" style="3" customWidth="1"/>
    <col min="6" max="9" width="12.140625" style="3" bestFit="1" customWidth="1"/>
    <col min="10" max="10" width="14.28515625" style="3" bestFit="1" customWidth="1"/>
    <col min="11" max="11" width="9.140625" style="3" customWidth="1"/>
    <col min="12" max="12" width="12.140625" style="3" bestFit="1" customWidth="1"/>
    <col min="13" max="20" width="9.140625" style="2" customWidth="1"/>
    <col min="21" max="16384" width="9.140625" style="2"/>
  </cols>
  <sheetData>
    <row r="1" spans="1:13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3" t="s">
        <v>13</v>
      </c>
      <c r="B2" s="3">
        <v>0</v>
      </c>
      <c r="C2" s="3" t="s">
        <v>14</v>
      </c>
      <c r="D2" s="3" t="s">
        <v>15</v>
      </c>
      <c r="E2" s="3" t="s">
        <v>16</v>
      </c>
      <c r="F2" s="13">
        <v>0</v>
      </c>
      <c r="G2" s="3">
        <v>2</v>
      </c>
      <c r="H2" s="4">
        <v>78.920566022210835</v>
      </c>
      <c r="I2" s="4">
        <v>3</v>
      </c>
      <c r="J2" s="4">
        <v>127.016448015096</v>
      </c>
      <c r="K2" s="4">
        <v>0.26584837956648</v>
      </c>
      <c r="L2" s="4">
        <v>0.88922814236097492</v>
      </c>
      <c r="M2" s="3">
        <v>1.056120255857532</v>
      </c>
    </row>
    <row r="3" spans="1:13" ht="15.75" customHeight="1" x14ac:dyDescent="0.25">
      <c r="A3" s="3" t="s">
        <v>17</v>
      </c>
      <c r="B3" s="3">
        <v>0</v>
      </c>
      <c r="C3" s="3" t="s">
        <v>14</v>
      </c>
      <c r="D3" s="3" t="s">
        <v>15</v>
      </c>
      <c r="E3" s="3" t="s">
        <v>16</v>
      </c>
      <c r="F3" s="13">
        <v>3.1699293676106938E-2</v>
      </c>
      <c r="G3" s="3">
        <v>2</v>
      </c>
      <c r="H3" s="4">
        <v>83.349608379800571</v>
      </c>
      <c r="I3" s="4">
        <v>3</v>
      </c>
      <c r="J3" s="4">
        <v>123.5956760844126</v>
      </c>
      <c r="K3" s="4">
        <v>0.25868862436272411</v>
      </c>
      <c r="L3" s="4">
        <v>0.84197622139057771</v>
      </c>
      <c r="M3" s="3">
        <v>1</v>
      </c>
    </row>
    <row r="4" spans="1:13" ht="15.75" customHeight="1" x14ac:dyDescent="0.25">
      <c r="A4" s="3" t="s">
        <v>18</v>
      </c>
      <c r="B4" s="3">
        <v>1</v>
      </c>
      <c r="C4" s="3" t="s">
        <v>19</v>
      </c>
      <c r="D4" s="3" t="s">
        <v>15</v>
      </c>
      <c r="E4" s="3" t="s">
        <v>16</v>
      </c>
      <c r="F4" s="13">
        <v>64.342442506415622</v>
      </c>
      <c r="G4" s="3">
        <v>25</v>
      </c>
      <c r="H4" s="4">
        <v>643.12342559189415</v>
      </c>
      <c r="I4" s="4">
        <v>64.342442506415622</v>
      </c>
      <c r="J4" s="4">
        <v>44.494660239502771</v>
      </c>
      <c r="K4" s="4">
        <v>3.328947811979889</v>
      </c>
      <c r="L4" s="4">
        <v>3.616361036221758</v>
      </c>
      <c r="M4" s="3">
        <v>4.2950868971680762</v>
      </c>
    </row>
    <row r="5" spans="1:13" ht="15.75" customHeight="1" x14ac:dyDescent="0.25">
      <c r="A5" s="3" t="s">
        <v>20</v>
      </c>
      <c r="B5" s="3">
        <v>1.37</v>
      </c>
      <c r="C5" s="3" t="s">
        <v>19</v>
      </c>
      <c r="D5" s="3" t="s">
        <v>15</v>
      </c>
      <c r="E5" s="3" t="s">
        <v>21</v>
      </c>
      <c r="F5" s="13">
        <v>10.02694973093247</v>
      </c>
      <c r="G5" s="3">
        <v>25</v>
      </c>
      <c r="H5" s="4">
        <v>223.3663212853555</v>
      </c>
      <c r="I5" s="4">
        <v>10.02694973093247</v>
      </c>
      <c r="J5" s="4">
        <v>75.499871675314196</v>
      </c>
      <c r="K5" s="4">
        <v>0.88027141625607896</v>
      </c>
      <c r="L5" s="4">
        <v>1.733399539358472</v>
      </c>
      <c r="M5" s="3">
        <v>2.058727426406</v>
      </c>
    </row>
    <row r="6" spans="1:13" ht="15.75" customHeight="1" x14ac:dyDescent="0.25">
      <c r="A6" s="3" t="s">
        <v>22</v>
      </c>
      <c r="B6" s="3">
        <v>0.02</v>
      </c>
      <c r="C6" s="3" t="s">
        <v>19</v>
      </c>
      <c r="D6" s="3" t="s">
        <v>15</v>
      </c>
      <c r="E6" s="3" t="s">
        <v>23</v>
      </c>
      <c r="F6" s="13">
        <v>9.520745233424222</v>
      </c>
      <c r="G6" s="3">
        <v>18</v>
      </c>
      <c r="H6" s="4">
        <v>121.24512052529739</v>
      </c>
      <c r="I6" s="4">
        <v>9.520745233424222</v>
      </c>
      <c r="J6" s="4">
        <v>102.4761792140974</v>
      </c>
      <c r="K6" s="4">
        <v>1.1344762730141209</v>
      </c>
      <c r="L6" s="4">
        <v>3.0339804213678092</v>
      </c>
      <c r="M6" s="3">
        <v>3.603403925537227</v>
      </c>
    </row>
    <row r="7" spans="1:13" ht="15.75" customHeight="1" x14ac:dyDescent="0.25">
      <c r="A7" s="3" t="s">
        <v>17</v>
      </c>
      <c r="B7" s="3">
        <v>0</v>
      </c>
      <c r="C7" s="3" t="s">
        <v>19</v>
      </c>
      <c r="D7" s="3" t="s">
        <v>15</v>
      </c>
      <c r="E7" s="3" t="s">
        <v>16</v>
      </c>
      <c r="F7" s="13">
        <v>3.1699293676106938E-2</v>
      </c>
      <c r="G7" s="3">
        <v>30</v>
      </c>
      <c r="H7" s="4">
        <v>1.6676866428340911</v>
      </c>
      <c r="I7" s="4">
        <v>3</v>
      </c>
      <c r="J7" s="4">
        <v>873.77141756096307</v>
      </c>
      <c r="K7" s="4">
        <v>3.0480398287010342</v>
      </c>
      <c r="L7" s="4">
        <v>70.037397713886492</v>
      </c>
      <c r="M7" s="3">
        <v>83.182156377546193</v>
      </c>
    </row>
    <row r="8" spans="1:13" ht="15.75" customHeight="1" x14ac:dyDescent="0.25">
      <c r="A8" s="3" t="s">
        <v>24</v>
      </c>
      <c r="B8" s="3">
        <v>1.37</v>
      </c>
      <c r="C8" s="3" t="s">
        <v>19</v>
      </c>
      <c r="D8" s="3" t="s">
        <v>25</v>
      </c>
      <c r="E8" s="3" t="s">
        <v>26</v>
      </c>
      <c r="F8" s="13">
        <v>4.9852148616289291</v>
      </c>
      <c r="G8" s="3">
        <v>20</v>
      </c>
      <c r="H8" s="4">
        <v>86.048015504623109</v>
      </c>
      <c r="I8" s="4">
        <v>4.9852148616289291</v>
      </c>
      <c r="J8" s="4">
        <v>121.6423018972575</v>
      </c>
      <c r="K8" s="4">
        <v>0.70513140839646649</v>
      </c>
      <c r="L8" s="4">
        <v>2.2503963868796339</v>
      </c>
      <c r="M8" s="3">
        <v>2.672755274683364</v>
      </c>
    </row>
    <row r="9" spans="1:13" ht="15.75" customHeight="1" x14ac:dyDescent="0.25">
      <c r="A9" s="3" t="s">
        <v>27</v>
      </c>
      <c r="B9" s="3">
        <v>1</v>
      </c>
      <c r="C9" s="3" t="s">
        <v>19</v>
      </c>
      <c r="D9" s="3" t="s">
        <v>15</v>
      </c>
      <c r="E9" s="3" t="s">
        <v>28</v>
      </c>
      <c r="F9" s="13">
        <v>1.2980694345810779</v>
      </c>
      <c r="G9" s="3">
        <v>20</v>
      </c>
      <c r="H9" s="4">
        <v>27.130438208811341</v>
      </c>
      <c r="I9" s="4">
        <v>1.2980694345810779</v>
      </c>
      <c r="J9" s="4">
        <v>216.63401811712569</v>
      </c>
      <c r="K9" s="4">
        <v>0.3269837179166562</v>
      </c>
      <c r="L9" s="4">
        <v>1.8664911260084049</v>
      </c>
      <c r="M9" s="3">
        <v>2.2167979078147542</v>
      </c>
    </row>
    <row r="10" spans="1:13" ht="15.75" customHeight="1" x14ac:dyDescent="0.25">
      <c r="A10" s="3" t="s">
        <v>29</v>
      </c>
      <c r="B10" s="3">
        <v>124</v>
      </c>
      <c r="C10" s="3" t="s">
        <v>19</v>
      </c>
      <c r="D10" s="3" t="s">
        <v>25</v>
      </c>
      <c r="E10" s="3" t="s">
        <v>30</v>
      </c>
      <c r="F10" s="13">
        <v>5.9641398938878663</v>
      </c>
      <c r="G10" s="3">
        <v>20</v>
      </c>
      <c r="H10" s="4">
        <v>101.1197195012704</v>
      </c>
      <c r="I10" s="4">
        <v>5.9641398938878663</v>
      </c>
      <c r="J10" s="4">
        <v>112.2114388447237</v>
      </c>
      <c r="K10" s="4">
        <v>0.77819153367950589</v>
      </c>
      <c r="L10" s="4">
        <v>2.2883921376338239</v>
      </c>
      <c r="M10" s="3">
        <v>2.717882143814462</v>
      </c>
    </row>
    <row r="11" spans="1:13" ht="15.75" customHeight="1" x14ac:dyDescent="0.25">
      <c r="A11" s="3" t="s">
        <v>31</v>
      </c>
      <c r="B11" s="3">
        <v>675</v>
      </c>
      <c r="C11" s="3" t="s">
        <v>19</v>
      </c>
      <c r="D11" s="3" t="s">
        <v>25</v>
      </c>
      <c r="E11" s="3" t="s">
        <v>26</v>
      </c>
      <c r="F11" s="13">
        <v>16.89621118901141</v>
      </c>
      <c r="G11" s="3">
        <v>20</v>
      </c>
      <c r="H11" s="4">
        <v>248.9801954923407</v>
      </c>
      <c r="I11" s="4">
        <v>16.89621118901141</v>
      </c>
      <c r="J11" s="4">
        <v>71.510968108502468</v>
      </c>
      <c r="K11" s="4">
        <v>1.4049586273161829</v>
      </c>
      <c r="L11" s="4">
        <v>2.5992493347807151</v>
      </c>
      <c r="M11" s="3">
        <v>3.0870816404861028</v>
      </c>
    </row>
    <row r="12" spans="1:13" ht="15.75" customHeight="1" x14ac:dyDescent="0.25">
      <c r="A12" s="3" t="s">
        <v>32</v>
      </c>
      <c r="B12" s="3">
        <v>1430</v>
      </c>
      <c r="C12" s="3" t="s">
        <v>19</v>
      </c>
      <c r="D12" s="3" t="s">
        <v>25</v>
      </c>
      <c r="E12" s="3" t="s">
        <v>16</v>
      </c>
      <c r="F12" s="13">
        <v>6.6538093256851312</v>
      </c>
      <c r="G12" s="3">
        <v>20</v>
      </c>
      <c r="H12" s="4">
        <v>112.4898552006414</v>
      </c>
      <c r="I12" s="4">
        <v>6.6538093256851312</v>
      </c>
      <c r="J12" s="4">
        <v>106.3894051003885</v>
      </c>
      <c r="K12" s="4">
        <v>0.82313350675704444</v>
      </c>
      <c r="L12" s="4">
        <v>2.2931085978537871</v>
      </c>
      <c r="M12" s="3">
        <v>2.7234837987070128</v>
      </c>
    </row>
    <row r="14" spans="1:13" ht="60" customHeight="1" x14ac:dyDescent="0.25"/>
    <row r="19" ht="30" customHeight="1" x14ac:dyDescent="0.25"/>
    <row r="20" ht="30" customHeight="1" x14ac:dyDescent="0.25"/>
    <row r="21" ht="30" customHeight="1" x14ac:dyDescent="0.25"/>
  </sheetData>
  <conditionalFormatting sqref="H2:H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zoomScale="145" zoomScaleNormal="145" workbookViewId="0">
      <selection activeCell="Q6" sqref="Q6"/>
    </sheetView>
  </sheetViews>
  <sheetFormatPr defaultRowHeight="15" x14ac:dyDescent="0.25"/>
  <cols>
    <col min="1" max="1" width="17.5703125" customWidth="1"/>
    <col min="2" max="2" width="25.85546875" customWidth="1"/>
    <col min="3" max="5" width="9.140625" customWidth="1"/>
    <col min="7" max="7" width="9.140625" customWidth="1"/>
  </cols>
  <sheetData>
    <row r="1" spans="1:15" ht="15.75" customHeight="1" x14ac:dyDescent="0.25">
      <c r="A1" s="9" t="s">
        <v>33</v>
      </c>
      <c r="B1" s="9" t="s">
        <v>34</v>
      </c>
      <c r="C1" s="9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38</v>
      </c>
      <c r="K1" s="11" t="s">
        <v>42</v>
      </c>
      <c r="L1" s="11" t="s">
        <v>43</v>
      </c>
      <c r="M1" s="11" t="s">
        <v>44</v>
      </c>
      <c r="N1" s="11" t="s">
        <v>45</v>
      </c>
      <c r="O1" s="11" t="s">
        <v>46</v>
      </c>
    </row>
    <row r="2" spans="1:15" ht="15.75" customHeight="1" x14ac:dyDescent="0.25">
      <c r="A2" s="10" t="s">
        <v>47</v>
      </c>
      <c r="B2" s="10">
        <v>25</v>
      </c>
      <c r="C2" s="10">
        <v>35</v>
      </c>
      <c r="D2" s="12">
        <v>875</v>
      </c>
      <c r="E2" s="12">
        <v>924.10522387534047</v>
      </c>
      <c r="F2" s="12">
        <v>875</v>
      </c>
      <c r="G2" s="12">
        <v>3758.2010350220671</v>
      </c>
      <c r="H2" s="12">
        <v>1801.38649810525</v>
      </c>
      <c r="I2" s="12">
        <v>3152.9784348450739</v>
      </c>
      <c r="J2" s="12">
        <v>72784.386830352916</v>
      </c>
      <c r="K2" s="12">
        <v>2338.6608653479429</v>
      </c>
      <c r="L2" s="12">
        <v>1939.69816933791</v>
      </c>
      <c r="M2" s="12">
        <v>2378.146875837655</v>
      </c>
      <c r="N2" s="12">
        <v>2701.19643542534</v>
      </c>
      <c r="O2" s="12">
        <v>2383.0483238686361</v>
      </c>
    </row>
    <row r="3" spans="1:15" ht="15.75" customHeight="1" x14ac:dyDescent="0.25">
      <c r="A3" s="10" t="s">
        <v>48</v>
      </c>
      <c r="B3" s="10">
        <v>5</v>
      </c>
      <c r="C3" s="10">
        <v>64</v>
      </c>
      <c r="D3" s="12">
        <v>320</v>
      </c>
      <c r="E3" s="12">
        <v>337.95848187441032</v>
      </c>
      <c r="F3" s="12">
        <v>320</v>
      </c>
      <c r="G3" s="12">
        <v>1374.4278070937839</v>
      </c>
      <c r="H3" s="12">
        <v>658.79277644991987</v>
      </c>
      <c r="I3" s="12">
        <v>1153.0892561719129</v>
      </c>
      <c r="J3" s="12">
        <v>26618.29004081478</v>
      </c>
      <c r="K3" s="12">
        <v>855.28168789867652</v>
      </c>
      <c r="L3" s="12">
        <v>709.37533050072125</v>
      </c>
      <c r="M3" s="12">
        <v>869.72228602062796</v>
      </c>
      <c r="N3" s="12">
        <v>987.866124955553</v>
      </c>
      <c r="O3" s="12">
        <v>871.51481558624414</v>
      </c>
    </row>
    <row r="4" spans="1:15" ht="15.75" customHeight="1" x14ac:dyDescent="0.25">
      <c r="A4" s="10" t="s">
        <v>49</v>
      </c>
      <c r="B4" s="10">
        <v>50</v>
      </c>
      <c r="C4" s="10">
        <v>32</v>
      </c>
      <c r="D4" s="12">
        <v>1600</v>
      </c>
      <c r="E4" s="12">
        <v>1689.792409372051</v>
      </c>
      <c r="F4" s="12">
        <v>1600</v>
      </c>
      <c r="G4" s="12">
        <v>6872.139035468922</v>
      </c>
      <c r="H4" s="12">
        <v>3293.963882249599</v>
      </c>
      <c r="I4" s="12">
        <v>5765.4462808595636</v>
      </c>
      <c r="J4" s="12">
        <v>133091.45020407389</v>
      </c>
      <c r="K4" s="12">
        <v>4276.4084394933834</v>
      </c>
      <c r="L4" s="12">
        <v>3546.8766525036058</v>
      </c>
      <c r="M4" s="12">
        <v>4348.6114301031403</v>
      </c>
      <c r="N4" s="12">
        <v>4939.3306247777646</v>
      </c>
      <c r="O4" s="12">
        <v>4357.5740779312209</v>
      </c>
    </row>
    <row r="5" spans="1:15" ht="15.75" customHeight="1" x14ac:dyDescent="0.25">
      <c r="A5" s="10" t="s">
        <v>50</v>
      </c>
      <c r="B5" s="10">
        <v>12</v>
      </c>
      <c r="C5" s="10">
        <v>4</v>
      </c>
      <c r="D5" s="12">
        <v>48</v>
      </c>
      <c r="E5" s="12">
        <v>50.693772281161543</v>
      </c>
      <c r="F5" s="12">
        <v>48</v>
      </c>
      <c r="G5" s="12">
        <v>206.16417106406769</v>
      </c>
      <c r="H5" s="12">
        <v>98.818916467487981</v>
      </c>
      <c r="I5" s="12">
        <v>172.96338842578689</v>
      </c>
      <c r="J5" s="12">
        <v>3992.7435061222168</v>
      </c>
      <c r="K5" s="12">
        <v>128.2922531848015</v>
      </c>
      <c r="L5" s="12">
        <v>106.40629957510821</v>
      </c>
      <c r="M5" s="12">
        <v>130.45834290309421</v>
      </c>
      <c r="N5" s="12">
        <v>148.17991874333299</v>
      </c>
      <c r="O5" s="12">
        <v>130.72722233793661</v>
      </c>
    </row>
    <row r="6" spans="1:15" ht="15.75" customHeight="1" x14ac:dyDescent="0.25">
      <c r="A6" s="10" t="s">
        <v>51</v>
      </c>
      <c r="B6" s="10">
        <v>500</v>
      </c>
      <c r="C6" s="10">
        <v>8</v>
      </c>
      <c r="D6" s="12">
        <v>4000</v>
      </c>
      <c r="E6" s="12">
        <v>4224.4810234301276</v>
      </c>
      <c r="F6" s="12">
        <v>4000</v>
      </c>
      <c r="G6" s="12">
        <v>17180.34758867231</v>
      </c>
      <c r="H6" s="12">
        <v>8234.9097056239989</v>
      </c>
      <c r="I6" s="12">
        <v>14413.615702148911</v>
      </c>
      <c r="J6" s="12">
        <v>332728.62551018479</v>
      </c>
      <c r="K6" s="12">
        <v>10691.021098733459</v>
      </c>
      <c r="L6" s="12">
        <v>8867.1916312590147</v>
      </c>
      <c r="M6" s="12">
        <v>10871.528575257849</v>
      </c>
      <c r="N6" s="12">
        <v>12348.32656194441</v>
      </c>
      <c r="O6" s="12">
        <v>10893.935194828049</v>
      </c>
    </row>
    <row r="7" spans="1:15" ht="15.75" customHeight="1" x14ac:dyDescent="0.25">
      <c r="A7" s="10" t="s">
        <v>52</v>
      </c>
      <c r="B7" s="10">
        <v>400</v>
      </c>
      <c r="C7" s="10">
        <v>32</v>
      </c>
      <c r="D7" s="12">
        <v>12800</v>
      </c>
      <c r="E7" s="12">
        <v>13518.33927497641</v>
      </c>
      <c r="F7" s="12">
        <v>12800</v>
      </c>
      <c r="G7" s="12">
        <v>54977.112283751383</v>
      </c>
      <c r="H7" s="12">
        <v>26351.711057996799</v>
      </c>
      <c r="I7" s="12">
        <v>46123.570246876508</v>
      </c>
      <c r="J7" s="12">
        <v>1064731.6016325911</v>
      </c>
      <c r="K7" s="12">
        <v>34211.26751594706</v>
      </c>
      <c r="L7" s="12">
        <v>28375.01322002885</v>
      </c>
      <c r="M7" s="12">
        <v>34788.891440825122</v>
      </c>
      <c r="N7" s="12">
        <v>39514.644998222117</v>
      </c>
      <c r="O7" s="12">
        <v>34860.592623449767</v>
      </c>
    </row>
    <row r="8" spans="1:15" ht="15.75" customHeight="1" x14ac:dyDescent="0.25">
      <c r="A8" s="10" t="s">
        <v>53</v>
      </c>
      <c r="B8" s="10">
        <v>24</v>
      </c>
      <c r="C8" s="10">
        <v>8</v>
      </c>
      <c r="D8" s="12">
        <v>192</v>
      </c>
      <c r="E8" s="12">
        <v>202.77508912464609</v>
      </c>
      <c r="F8" s="12">
        <v>192</v>
      </c>
      <c r="G8" s="12">
        <v>824.65668425627064</v>
      </c>
      <c r="H8" s="12">
        <v>395.27566586995192</v>
      </c>
      <c r="I8" s="12">
        <v>691.85355370314767</v>
      </c>
      <c r="J8" s="12">
        <v>15970.974024488871</v>
      </c>
      <c r="K8" s="12">
        <v>513.16901273920587</v>
      </c>
      <c r="L8" s="12">
        <v>425.62519830043271</v>
      </c>
      <c r="M8" s="12">
        <v>521.83337161237682</v>
      </c>
      <c r="N8" s="12">
        <v>592.71967497333185</v>
      </c>
      <c r="O8" s="12">
        <v>522.90888935174644</v>
      </c>
    </row>
    <row r="9" spans="1:15" x14ac:dyDescent="0.25">
      <c r="A9" s="10" t="s">
        <v>54</v>
      </c>
      <c r="B9" s="10"/>
      <c r="C9" s="10"/>
      <c r="D9" s="12">
        <v>19835</v>
      </c>
      <c r="E9" s="12">
        <v>20948.145274934152</v>
      </c>
      <c r="F9" s="12">
        <v>19835</v>
      </c>
      <c r="G9" s="12">
        <v>85193.04860532879</v>
      </c>
      <c r="H9" s="12">
        <v>40834.858502763003</v>
      </c>
      <c r="I9" s="12">
        <v>71473.516863030905</v>
      </c>
      <c r="J9" s="12">
        <v>1649918.071748629</v>
      </c>
      <c r="K9" s="12">
        <v>53014.100873344527</v>
      </c>
      <c r="L9" s="12">
        <v>43970.186501505639</v>
      </c>
      <c r="M9" s="12">
        <v>53909.192322559873</v>
      </c>
      <c r="N9" s="12">
        <v>61232.26433904186</v>
      </c>
      <c r="O9" s="12">
        <v>54020.301147353603</v>
      </c>
    </row>
    <row r="10" spans="1:15" ht="15.75" customHeight="1" thickBot="1" x14ac:dyDescent="0.3"/>
    <row r="11" spans="1:15" ht="15.75" customHeight="1" thickBot="1" x14ac:dyDescent="0.3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G11" t="s">
        <v>60</v>
      </c>
      <c r="H11" t="s">
        <v>61</v>
      </c>
      <c r="I11" t="s">
        <v>62</v>
      </c>
      <c r="J11" t="s">
        <v>63</v>
      </c>
    </row>
    <row r="12" spans="1:15" ht="15.75" customHeight="1" thickBot="1" x14ac:dyDescent="0.3">
      <c r="A12" s="6" t="s">
        <v>64</v>
      </c>
      <c r="B12" s="6" t="s">
        <v>65</v>
      </c>
      <c r="C12" s="6" t="s">
        <v>66</v>
      </c>
      <c r="D12" s="6" t="s">
        <v>67</v>
      </c>
      <c r="E12" s="7">
        <v>875</v>
      </c>
      <c r="G12">
        <v>1</v>
      </c>
      <c r="H12" t="s">
        <v>68</v>
      </c>
      <c r="I12" t="s">
        <v>69</v>
      </c>
      <c r="J12" t="s">
        <v>70</v>
      </c>
    </row>
    <row r="13" spans="1:15" ht="15.75" customHeight="1" thickBot="1" x14ac:dyDescent="0.3">
      <c r="A13" s="6" t="s">
        <v>71</v>
      </c>
      <c r="B13" s="6" t="s">
        <v>72</v>
      </c>
      <c r="C13" s="6" t="s">
        <v>73</v>
      </c>
      <c r="D13" s="6" t="s">
        <v>74</v>
      </c>
      <c r="E13" s="7">
        <v>320</v>
      </c>
      <c r="G13">
        <v>2</v>
      </c>
      <c r="H13" t="s">
        <v>75</v>
      </c>
      <c r="I13" t="s">
        <v>76</v>
      </c>
      <c r="J13" t="s">
        <v>77</v>
      </c>
    </row>
    <row r="14" spans="1:15" ht="15.75" customHeight="1" thickBot="1" x14ac:dyDescent="0.3">
      <c r="A14" s="6" t="s">
        <v>78</v>
      </c>
      <c r="B14" s="6" t="s">
        <v>79</v>
      </c>
      <c r="C14" s="6" t="s">
        <v>80</v>
      </c>
      <c r="D14" s="7">
        <v>50</v>
      </c>
      <c r="E14" s="8">
        <v>1600</v>
      </c>
      <c r="G14">
        <v>3</v>
      </c>
      <c r="H14" t="s">
        <v>81</v>
      </c>
      <c r="I14" t="s">
        <v>82</v>
      </c>
      <c r="J14" t="s">
        <v>83</v>
      </c>
    </row>
    <row r="15" spans="1:15" ht="15.75" customHeight="1" thickBot="1" x14ac:dyDescent="0.3">
      <c r="A15" s="6" t="s">
        <v>84</v>
      </c>
      <c r="B15" s="6" t="s">
        <v>85</v>
      </c>
      <c r="C15" s="6" t="s">
        <v>86</v>
      </c>
      <c r="D15" s="7">
        <v>12</v>
      </c>
      <c r="E15" s="7">
        <v>48</v>
      </c>
      <c r="G15">
        <v>4</v>
      </c>
      <c r="H15" t="s">
        <v>87</v>
      </c>
      <c r="I15" t="s">
        <v>88</v>
      </c>
      <c r="J15" t="s">
        <v>89</v>
      </c>
    </row>
    <row r="16" spans="1:15" ht="15.75" customHeight="1" thickBot="1" x14ac:dyDescent="0.3">
      <c r="A16" s="6" t="s">
        <v>90</v>
      </c>
      <c r="B16" s="6" t="s">
        <v>91</v>
      </c>
      <c r="C16" s="6" t="s">
        <v>92</v>
      </c>
      <c r="D16" s="7">
        <v>500</v>
      </c>
      <c r="E16" s="7">
        <v>4000</v>
      </c>
      <c r="G16">
        <v>5</v>
      </c>
      <c r="H16" t="s">
        <v>93</v>
      </c>
      <c r="I16" t="s">
        <v>94</v>
      </c>
      <c r="J16" t="s">
        <v>95</v>
      </c>
    </row>
    <row r="17" spans="1:10" ht="15.75" customHeight="1" thickBot="1" x14ac:dyDescent="0.3">
      <c r="A17" s="6" t="s">
        <v>96</v>
      </c>
      <c r="B17" s="6" t="s">
        <v>97</v>
      </c>
      <c r="C17" s="6" t="s">
        <v>80</v>
      </c>
      <c r="D17" s="7">
        <v>400</v>
      </c>
      <c r="E17" s="7">
        <v>12800</v>
      </c>
      <c r="G17">
        <v>6</v>
      </c>
      <c r="H17" t="s">
        <v>81</v>
      </c>
      <c r="I17" t="s">
        <v>98</v>
      </c>
      <c r="J17" t="s">
        <v>99</v>
      </c>
    </row>
    <row r="18" spans="1:10" ht="15.75" customHeight="1" thickBot="1" x14ac:dyDescent="0.3">
      <c r="A18" s="6" t="s">
        <v>100</v>
      </c>
      <c r="B18" s="6" t="s">
        <v>91</v>
      </c>
      <c r="C18" s="6" t="s">
        <v>92</v>
      </c>
      <c r="D18" s="7">
        <v>24</v>
      </c>
      <c r="E18" s="8">
        <v>192</v>
      </c>
      <c r="G18">
        <v>7</v>
      </c>
      <c r="H18" t="s">
        <v>101</v>
      </c>
      <c r="I18" t="s">
        <v>102</v>
      </c>
      <c r="J18" t="s">
        <v>103</v>
      </c>
    </row>
    <row r="19" spans="1:10" x14ac:dyDescent="0.25">
      <c r="G19">
        <v>8</v>
      </c>
      <c r="H19" t="s">
        <v>104</v>
      </c>
      <c r="I19" t="s">
        <v>105</v>
      </c>
      <c r="J19" t="s">
        <v>106</v>
      </c>
    </row>
    <row r="20" spans="1:10" x14ac:dyDescent="0.25">
      <c r="G20">
        <v>9</v>
      </c>
      <c r="H20" t="s">
        <v>107</v>
      </c>
      <c r="I20" t="s">
        <v>108</v>
      </c>
      <c r="J20" t="s">
        <v>109</v>
      </c>
    </row>
    <row r="21" spans="1:10" x14ac:dyDescent="0.25">
      <c r="G21">
        <v>10</v>
      </c>
      <c r="H21" t="s">
        <v>110</v>
      </c>
      <c r="I21" t="s">
        <v>111</v>
      </c>
      <c r="J21" t="s">
        <v>112</v>
      </c>
    </row>
    <row r="22" spans="1:10" x14ac:dyDescent="0.25">
      <c r="G22">
        <v>11</v>
      </c>
      <c r="H22" t="s">
        <v>113</v>
      </c>
      <c r="I22" t="s">
        <v>114</v>
      </c>
      <c r="J22" t="s">
        <v>115</v>
      </c>
    </row>
    <row r="23" spans="1:10" x14ac:dyDescent="0.25">
      <c r="G23">
        <v>12</v>
      </c>
      <c r="H23" t="s">
        <v>110</v>
      </c>
      <c r="I23" t="s">
        <v>116</v>
      </c>
      <c r="J23" t="s">
        <v>117</v>
      </c>
    </row>
    <row r="24" spans="1:10" x14ac:dyDescent="0.25">
      <c r="G24">
        <v>13</v>
      </c>
      <c r="H24" t="s">
        <v>118</v>
      </c>
      <c r="I24" t="s">
        <v>119</v>
      </c>
      <c r="J24" t="s">
        <v>120</v>
      </c>
    </row>
    <row r="25" spans="1:10" x14ac:dyDescent="0.25">
      <c r="G25">
        <v>14</v>
      </c>
      <c r="H25" t="s">
        <v>121</v>
      </c>
      <c r="I25" t="s">
        <v>122</v>
      </c>
      <c r="J25" t="s">
        <v>123</v>
      </c>
    </row>
    <row r="26" spans="1:10" x14ac:dyDescent="0.25">
      <c r="G26">
        <v>15</v>
      </c>
      <c r="H26" t="s">
        <v>124</v>
      </c>
      <c r="I26" t="s">
        <v>125</v>
      </c>
      <c r="J26" t="s">
        <v>126</v>
      </c>
    </row>
    <row r="27" spans="1:10" x14ac:dyDescent="0.25">
      <c r="G27">
        <v>16</v>
      </c>
      <c r="H27" t="s">
        <v>127</v>
      </c>
      <c r="I27" t="s">
        <v>128</v>
      </c>
      <c r="J27" t="s">
        <v>129</v>
      </c>
    </row>
    <row r="28" spans="1:10" x14ac:dyDescent="0.25">
      <c r="G28">
        <v>17</v>
      </c>
      <c r="H28" t="s">
        <v>130</v>
      </c>
      <c r="I28" t="s">
        <v>131</v>
      </c>
      <c r="J28" t="s">
        <v>132</v>
      </c>
    </row>
    <row r="29" spans="1:10" x14ac:dyDescent="0.25">
      <c r="G29">
        <v>18</v>
      </c>
      <c r="H29" t="s">
        <v>133</v>
      </c>
      <c r="I29" t="s">
        <v>134</v>
      </c>
      <c r="J29" t="s">
        <v>135</v>
      </c>
    </row>
    <row r="30" spans="1:10" x14ac:dyDescent="0.25">
      <c r="G30">
        <v>19</v>
      </c>
      <c r="H30" t="s">
        <v>136</v>
      </c>
      <c r="I30" t="s">
        <v>137</v>
      </c>
      <c r="J30" t="s">
        <v>138</v>
      </c>
    </row>
    <row r="31" spans="1:10" x14ac:dyDescent="0.25">
      <c r="G31">
        <v>20</v>
      </c>
      <c r="H31" t="s">
        <v>130</v>
      </c>
      <c r="I31" t="s">
        <v>139</v>
      </c>
      <c r="J31" t="s">
        <v>140</v>
      </c>
    </row>
    <row r="32" spans="1:10" x14ac:dyDescent="0.25">
      <c r="G32">
        <v>21</v>
      </c>
      <c r="H32" t="s">
        <v>141</v>
      </c>
      <c r="I32" t="s">
        <v>142</v>
      </c>
      <c r="J32" t="s">
        <v>143</v>
      </c>
    </row>
    <row r="33" spans="7:10" x14ac:dyDescent="0.25">
      <c r="G33">
        <v>22</v>
      </c>
      <c r="H33" t="s">
        <v>144</v>
      </c>
      <c r="I33" t="s">
        <v>145</v>
      </c>
      <c r="J33" t="s">
        <v>146</v>
      </c>
    </row>
    <row r="34" spans="7:10" x14ac:dyDescent="0.25">
      <c r="G34">
        <v>23</v>
      </c>
      <c r="H34" t="s">
        <v>81</v>
      </c>
      <c r="I34" t="s">
        <v>147</v>
      </c>
      <c r="J34" t="s">
        <v>148</v>
      </c>
    </row>
    <row r="35" spans="7:10" x14ac:dyDescent="0.25">
      <c r="G35">
        <v>24</v>
      </c>
      <c r="H35" t="s">
        <v>81</v>
      </c>
      <c r="I35" t="s">
        <v>149</v>
      </c>
      <c r="J35" t="s">
        <v>150</v>
      </c>
    </row>
    <row r="36" spans="7:10" x14ac:dyDescent="0.25">
      <c r="G36">
        <v>25</v>
      </c>
      <c r="H36" t="s">
        <v>81</v>
      </c>
      <c r="I36" t="s">
        <v>151</v>
      </c>
      <c r="J36" t="s">
        <v>152</v>
      </c>
    </row>
    <row r="37" spans="7:10" x14ac:dyDescent="0.25">
      <c r="G37">
        <v>26</v>
      </c>
      <c r="H37" t="s">
        <v>81</v>
      </c>
      <c r="I37" t="s">
        <v>153</v>
      </c>
      <c r="J37" t="s">
        <v>154</v>
      </c>
    </row>
    <row r="38" spans="7:10" x14ac:dyDescent="0.25">
      <c r="G38">
        <v>27</v>
      </c>
      <c r="H38" t="s">
        <v>81</v>
      </c>
      <c r="I38" t="s">
        <v>155</v>
      </c>
      <c r="J38" t="s">
        <v>156</v>
      </c>
    </row>
    <row r="39" spans="7:10" x14ac:dyDescent="0.25">
      <c r="G39">
        <v>28</v>
      </c>
      <c r="H39" t="s">
        <v>141</v>
      </c>
      <c r="I39" t="s">
        <v>157</v>
      </c>
      <c r="J39" t="s">
        <v>158</v>
      </c>
    </row>
  </sheetData>
  <conditionalFormatting sqref="D9:O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E14" r:id="rId1" display="https://www.alibaba.com/showroom/aisi-304-tee.html" xr:uid="{00000000-0004-0000-0100-000000000000}"/>
    <hyperlink ref="E18" r:id="rId2" display="https://www.pumpa.eu/en/welding-neck-flange-dn100-pn6-din-2631-114-3/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5" x14ac:dyDescent="0.25"/>
  <sheetData>
    <row r="1" spans="1:13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159</v>
      </c>
      <c r="M1" s="15" t="s">
        <v>12</v>
      </c>
    </row>
    <row r="2" spans="1:13" x14ac:dyDescent="0.25">
      <c r="A2" t="s">
        <v>13</v>
      </c>
      <c r="B2">
        <v>0</v>
      </c>
      <c r="C2" t="s">
        <v>14</v>
      </c>
      <c r="D2" t="s">
        <v>15</v>
      </c>
      <c r="E2" t="s">
        <v>16</v>
      </c>
      <c r="F2">
        <v>0</v>
      </c>
      <c r="G2">
        <v>2</v>
      </c>
      <c r="H2">
        <v>78.920566022210835</v>
      </c>
      <c r="I2">
        <v>3</v>
      </c>
      <c r="J2">
        <v>127.016448015096</v>
      </c>
      <c r="K2">
        <v>0.26584837956648</v>
      </c>
      <c r="L2">
        <v>0.88922814236097492</v>
      </c>
      <c r="M2">
        <v>1.056120255857532</v>
      </c>
    </row>
    <row r="3" spans="1:13" x14ac:dyDescent="0.25">
      <c r="A3" t="s">
        <v>17</v>
      </c>
      <c r="B3">
        <v>0</v>
      </c>
      <c r="C3" t="s">
        <v>14</v>
      </c>
      <c r="D3" t="s">
        <v>15</v>
      </c>
      <c r="E3" t="s">
        <v>16</v>
      </c>
      <c r="F3">
        <v>3.1699293676106938E-2</v>
      </c>
      <c r="G3">
        <v>2</v>
      </c>
      <c r="H3">
        <v>83.349608379800571</v>
      </c>
      <c r="I3">
        <v>3</v>
      </c>
      <c r="J3">
        <v>123.5956760844126</v>
      </c>
      <c r="K3">
        <v>0.25868862436272411</v>
      </c>
      <c r="L3">
        <v>0.84197622139057771</v>
      </c>
      <c r="M3">
        <v>1</v>
      </c>
    </row>
    <row r="4" spans="1:13" x14ac:dyDescent="0.25">
      <c r="A4" t="s">
        <v>18</v>
      </c>
      <c r="B4">
        <v>1</v>
      </c>
      <c r="C4" t="s">
        <v>19</v>
      </c>
      <c r="D4" t="s">
        <v>15</v>
      </c>
      <c r="E4" t="s">
        <v>16</v>
      </c>
      <c r="F4">
        <v>64.342442506415622</v>
      </c>
      <c r="G4">
        <v>25</v>
      </c>
      <c r="H4">
        <v>557.11619910805018</v>
      </c>
      <c r="I4">
        <v>64.342442506415622</v>
      </c>
      <c r="J4">
        <v>47.805973463055608</v>
      </c>
      <c r="K4">
        <v>3.5766896500114962</v>
      </c>
      <c r="L4">
        <v>4.1746524360906561</v>
      </c>
      <c r="M4">
        <v>4.9581595418406827</v>
      </c>
    </row>
    <row r="5" spans="1:13" x14ac:dyDescent="0.25">
      <c r="A5" t="s">
        <v>20</v>
      </c>
      <c r="B5">
        <v>1.37</v>
      </c>
      <c r="C5" t="s">
        <v>19</v>
      </c>
      <c r="D5" t="s">
        <v>15</v>
      </c>
      <c r="E5" t="s">
        <v>21</v>
      </c>
      <c r="F5">
        <v>10.02694973093247</v>
      </c>
      <c r="G5">
        <v>25</v>
      </c>
      <c r="H5">
        <v>220.88904815708551</v>
      </c>
      <c r="I5">
        <v>10.02694973093247</v>
      </c>
      <c r="J5">
        <v>75.922057221418527</v>
      </c>
      <c r="K5">
        <v>0.88519378049783992</v>
      </c>
      <c r="L5">
        <v>1.7528396344434649</v>
      </c>
      <c r="M5">
        <v>2.081816077357312</v>
      </c>
    </row>
    <row r="6" spans="1:13" x14ac:dyDescent="0.25">
      <c r="A6" t="s">
        <v>22</v>
      </c>
      <c r="B6">
        <v>0.02</v>
      </c>
      <c r="C6" t="s">
        <v>19</v>
      </c>
      <c r="D6" t="s">
        <v>15</v>
      </c>
      <c r="E6" t="s">
        <v>23</v>
      </c>
      <c r="F6">
        <v>9.520745233424222</v>
      </c>
      <c r="G6">
        <v>18</v>
      </c>
      <c r="H6">
        <v>118.2809004205352</v>
      </c>
      <c r="I6">
        <v>9.520745233424222</v>
      </c>
      <c r="J6">
        <v>103.7523036614827</v>
      </c>
      <c r="K6">
        <v>1.1486037796998181</v>
      </c>
      <c r="L6">
        <v>3.110014554778171</v>
      </c>
      <c r="M6">
        <v>3.6937082969419048</v>
      </c>
    </row>
    <row r="7" spans="1:13" x14ac:dyDescent="0.25">
      <c r="A7" t="s">
        <v>17</v>
      </c>
      <c r="B7">
        <v>0</v>
      </c>
      <c r="C7" t="s">
        <v>19</v>
      </c>
      <c r="D7" t="s">
        <v>15</v>
      </c>
      <c r="E7" t="s">
        <v>16</v>
      </c>
      <c r="F7">
        <v>3.1699293676106938E-2</v>
      </c>
      <c r="G7">
        <v>30</v>
      </c>
      <c r="H7">
        <v>1.659473000992143</v>
      </c>
      <c r="I7">
        <v>3</v>
      </c>
      <c r="J7">
        <v>875.93113538853629</v>
      </c>
      <c r="K7">
        <v>3.055573728099545</v>
      </c>
      <c r="L7">
        <v>70.384051199673436</v>
      </c>
      <c r="M7">
        <v>83.593870481793019</v>
      </c>
    </row>
    <row r="8" spans="1:13" x14ac:dyDescent="0.25">
      <c r="A8" t="s">
        <v>24</v>
      </c>
      <c r="B8">
        <v>1.37</v>
      </c>
      <c r="C8" t="s">
        <v>19</v>
      </c>
      <c r="D8" t="s">
        <v>25</v>
      </c>
      <c r="E8" t="s">
        <v>26</v>
      </c>
      <c r="F8">
        <v>4.9852148616289291</v>
      </c>
      <c r="G8">
        <v>20</v>
      </c>
      <c r="H8">
        <v>84.702765359100439</v>
      </c>
      <c r="I8">
        <v>4.9852148616289291</v>
      </c>
      <c r="J8">
        <v>122.6044588124512</v>
      </c>
      <c r="K8">
        <v>0.71070880252767887</v>
      </c>
      <c r="L8">
        <v>2.286137204243746</v>
      </c>
      <c r="M8">
        <v>2.7152040000227609</v>
      </c>
    </row>
    <row r="9" spans="1:13" x14ac:dyDescent="0.25">
      <c r="A9" t="s">
        <v>27</v>
      </c>
      <c r="B9">
        <v>1</v>
      </c>
      <c r="C9" t="s">
        <v>19</v>
      </c>
      <c r="D9" t="s">
        <v>15</v>
      </c>
      <c r="E9" t="s">
        <v>28</v>
      </c>
      <c r="F9">
        <v>1.2980694345810779</v>
      </c>
      <c r="G9">
        <v>20</v>
      </c>
      <c r="H9">
        <v>26.922770613694539</v>
      </c>
      <c r="I9">
        <v>1.2980694345810779</v>
      </c>
      <c r="J9">
        <v>217.46791159357741</v>
      </c>
      <c r="K9">
        <v>0.32824238260674748</v>
      </c>
      <c r="L9">
        <v>1.8808882223922241</v>
      </c>
      <c r="M9">
        <v>2.2338970799980742</v>
      </c>
    </row>
    <row r="10" spans="1:13" x14ac:dyDescent="0.25">
      <c r="A10" t="s">
        <v>29</v>
      </c>
      <c r="B10">
        <v>124</v>
      </c>
      <c r="C10" t="s">
        <v>19</v>
      </c>
      <c r="D10" t="s">
        <v>25</v>
      </c>
      <c r="E10" t="s">
        <v>30</v>
      </c>
      <c r="F10">
        <v>5.9641398938878663</v>
      </c>
      <c r="G10">
        <v>20</v>
      </c>
      <c r="H10">
        <v>99.637631648623142</v>
      </c>
      <c r="I10">
        <v>5.9641398938878663</v>
      </c>
      <c r="J10">
        <v>113.0429184734886</v>
      </c>
      <c r="K10">
        <v>0.78395788347586881</v>
      </c>
      <c r="L10">
        <v>2.3224314672842921</v>
      </c>
      <c r="M10">
        <v>2.7583100428283438</v>
      </c>
    </row>
    <row r="11" spans="1:13" x14ac:dyDescent="0.25">
      <c r="A11" t="s">
        <v>31</v>
      </c>
      <c r="B11">
        <v>675</v>
      </c>
      <c r="C11" t="s">
        <v>19</v>
      </c>
      <c r="D11" t="s">
        <v>25</v>
      </c>
      <c r="E11" t="s">
        <v>26</v>
      </c>
      <c r="F11">
        <v>16.89621118901141</v>
      </c>
      <c r="G11">
        <v>20</v>
      </c>
      <c r="H11">
        <v>242.0686964218211</v>
      </c>
      <c r="I11">
        <v>16.89621118901141</v>
      </c>
      <c r="J11">
        <v>72.524667032499195</v>
      </c>
      <c r="K11">
        <v>1.424874523946325</v>
      </c>
      <c r="L11">
        <v>2.6734626041002629</v>
      </c>
      <c r="M11">
        <v>3.17522340439124</v>
      </c>
    </row>
    <row r="12" spans="1:13" x14ac:dyDescent="0.25">
      <c r="A12" t="s">
        <v>32</v>
      </c>
      <c r="B12">
        <v>1430</v>
      </c>
      <c r="C12" t="s">
        <v>19</v>
      </c>
      <c r="D12" t="s">
        <v>25</v>
      </c>
      <c r="E12" t="s">
        <v>16</v>
      </c>
      <c r="F12">
        <v>6.6538093256851312</v>
      </c>
      <c r="G12">
        <v>20</v>
      </c>
      <c r="H12">
        <v>110.5133505595079</v>
      </c>
      <c r="I12">
        <v>6.6538093256851312</v>
      </c>
      <c r="J12">
        <v>107.3365633789284</v>
      </c>
      <c r="K12">
        <v>0.83046165860198495</v>
      </c>
      <c r="L12">
        <v>2.33412029248918</v>
      </c>
      <c r="M12">
        <v>2.7721926500896079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/>
  </sheetViews>
  <sheetFormatPr defaultRowHeight="15" x14ac:dyDescent="0.25"/>
  <sheetData>
    <row r="1" spans="1:15" x14ac:dyDescent="0.25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160</v>
      </c>
      <c r="F1" s="15" t="s">
        <v>161</v>
      </c>
      <c r="G1" s="15" t="s">
        <v>162</v>
      </c>
      <c r="H1" s="15" t="s">
        <v>163</v>
      </c>
      <c r="I1" s="15" t="s">
        <v>164</v>
      </c>
      <c r="J1" s="15" t="s">
        <v>161</v>
      </c>
      <c r="K1" s="15" t="s">
        <v>165</v>
      </c>
      <c r="L1" s="15" t="s">
        <v>166</v>
      </c>
      <c r="M1" s="15" t="s">
        <v>167</v>
      </c>
      <c r="N1" s="15" t="s">
        <v>168</v>
      </c>
      <c r="O1" s="15" t="s">
        <v>169</v>
      </c>
    </row>
    <row r="2" spans="1:15" x14ac:dyDescent="0.25">
      <c r="A2" t="s">
        <v>47</v>
      </c>
      <c r="B2">
        <v>25</v>
      </c>
      <c r="C2">
        <v>35</v>
      </c>
      <c r="D2">
        <v>875</v>
      </c>
      <c r="E2">
        <v>924.10522387534047</v>
      </c>
      <c r="F2">
        <v>875</v>
      </c>
      <c r="G2">
        <v>4338.3895991105974</v>
      </c>
      <c r="H2">
        <v>1821.5890676876479</v>
      </c>
      <c r="I2">
        <v>3231.994759824167</v>
      </c>
      <c r="J2">
        <v>73144.636671568893</v>
      </c>
      <c r="K2">
        <v>2375.8035000199161</v>
      </c>
      <c r="L2">
        <v>1954.659944998315</v>
      </c>
      <c r="M2">
        <v>2413.5212874748008</v>
      </c>
      <c r="N2">
        <v>2778.320478842335</v>
      </c>
      <c r="O2">
        <v>2425.6685688284069</v>
      </c>
    </row>
    <row r="3" spans="1:15" x14ac:dyDescent="0.25">
      <c r="A3" t="s">
        <v>48</v>
      </c>
      <c r="B3">
        <v>5</v>
      </c>
      <c r="C3">
        <v>64</v>
      </c>
      <c r="D3">
        <v>320</v>
      </c>
      <c r="E3">
        <v>337.95848187441032</v>
      </c>
      <c r="F3">
        <v>320</v>
      </c>
      <c r="G3">
        <v>1586.611053389018</v>
      </c>
      <c r="H3">
        <v>666.18114475434004</v>
      </c>
      <c r="I3">
        <v>1181.9866550214099</v>
      </c>
      <c r="J3">
        <v>26750.038554173771</v>
      </c>
      <c r="K3">
        <v>868.86528000728367</v>
      </c>
      <c r="L3">
        <v>714.84706559938377</v>
      </c>
      <c r="M3">
        <v>882.65921370506999</v>
      </c>
      <c r="N3">
        <v>1016.071489405197</v>
      </c>
      <c r="O3">
        <v>887.10164802867462</v>
      </c>
    </row>
    <row r="4" spans="1:15" x14ac:dyDescent="0.25">
      <c r="A4" t="s">
        <v>49</v>
      </c>
      <c r="B4">
        <v>50</v>
      </c>
      <c r="C4">
        <v>32</v>
      </c>
      <c r="D4">
        <v>1600</v>
      </c>
      <c r="E4">
        <v>1689.792409372051</v>
      </c>
      <c r="F4">
        <v>1600</v>
      </c>
      <c r="G4">
        <v>7933.0552669450926</v>
      </c>
      <c r="H4">
        <v>3330.9057237717002</v>
      </c>
      <c r="I4">
        <v>5909.9332751070488</v>
      </c>
      <c r="J4">
        <v>133750.1927708688</v>
      </c>
      <c r="K4">
        <v>4344.3264000364179</v>
      </c>
      <c r="L4">
        <v>3574.2353279969188</v>
      </c>
      <c r="M4">
        <v>4413.2960685253502</v>
      </c>
      <c r="N4">
        <v>5080.3574470259846</v>
      </c>
      <c r="O4">
        <v>4435.5082401433738</v>
      </c>
    </row>
    <row r="5" spans="1:15" x14ac:dyDescent="0.25">
      <c r="A5" t="s">
        <v>50</v>
      </c>
      <c r="B5">
        <v>12</v>
      </c>
      <c r="C5">
        <v>4</v>
      </c>
      <c r="D5">
        <v>48</v>
      </c>
      <c r="E5">
        <v>50.693772281161543</v>
      </c>
      <c r="F5">
        <v>48</v>
      </c>
      <c r="G5">
        <v>237.9916580083528</v>
      </c>
      <c r="H5">
        <v>99.927171713150997</v>
      </c>
      <c r="I5">
        <v>177.29799825321149</v>
      </c>
      <c r="J5">
        <v>4012.5057831260651</v>
      </c>
      <c r="K5">
        <v>130.3297920010925</v>
      </c>
      <c r="L5">
        <v>107.2270598399076</v>
      </c>
      <c r="M5">
        <v>132.39888205576051</v>
      </c>
      <c r="N5">
        <v>152.41072341077961</v>
      </c>
      <c r="O5">
        <v>133.06524720430119</v>
      </c>
    </row>
    <row r="6" spans="1:15" x14ac:dyDescent="0.25">
      <c r="A6" t="s">
        <v>51</v>
      </c>
      <c r="B6">
        <v>500</v>
      </c>
      <c r="C6">
        <v>8</v>
      </c>
      <c r="D6">
        <v>4000</v>
      </c>
      <c r="E6">
        <v>4224.4810234301276</v>
      </c>
      <c r="F6">
        <v>4000</v>
      </c>
      <c r="G6">
        <v>19832.638167362729</v>
      </c>
      <c r="H6">
        <v>8327.2643094292489</v>
      </c>
      <c r="I6">
        <v>14774.833187767619</v>
      </c>
      <c r="J6">
        <v>334375.48192717199</v>
      </c>
      <c r="K6">
        <v>10860.816000091039</v>
      </c>
      <c r="L6">
        <v>8935.5883199922973</v>
      </c>
      <c r="M6">
        <v>11033.24017131337</v>
      </c>
      <c r="N6">
        <v>12700.89361756496</v>
      </c>
      <c r="O6">
        <v>11088.77060035843</v>
      </c>
    </row>
    <row r="7" spans="1:15" x14ac:dyDescent="0.25">
      <c r="A7" t="s">
        <v>52</v>
      </c>
      <c r="B7">
        <v>400</v>
      </c>
      <c r="C7">
        <v>32</v>
      </c>
      <c r="D7">
        <v>12800</v>
      </c>
      <c r="E7">
        <v>13518.33927497641</v>
      </c>
      <c r="F7">
        <v>12800</v>
      </c>
      <c r="G7">
        <v>63464.442135560741</v>
      </c>
      <c r="H7">
        <v>26647.245790173602</v>
      </c>
      <c r="I7">
        <v>47279.46620085639</v>
      </c>
      <c r="J7">
        <v>1070001.5421669511</v>
      </c>
      <c r="K7">
        <v>34754.611200291343</v>
      </c>
      <c r="L7">
        <v>28593.882623975351</v>
      </c>
      <c r="M7">
        <v>35306.368548202801</v>
      </c>
      <c r="N7">
        <v>40642.859576207877</v>
      </c>
      <c r="O7">
        <v>35484.06592114699</v>
      </c>
    </row>
    <row r="8" spans="1:15" x14ac:dyDescent="0.25">
      <c r="A8" t="s">
        <v>53</v>
      </c>
      <c r="B8">
        <v>24</v>
      </c>
      <c r="C8">
        <v>8</v>
      </c>
      <c r="D8">
        <v>192</v>
      </c>
      <c r="E8">
        <v>202.77508912464609</v>
      </c>
      <c r="F8">
        <v>192</v>
      </c>
      <c r="G8">
        <v>951.96663203341109</v>
      </c>
      <c r="H8">
        <v>399.70868685260399</v>
      </c>
      <c r="I8">
        <v>709.19199301284584</v>
      </c>
      <c r="J8">
        <v>16050.023132504261</v>
      </c>
      <c r="K8">
        <v>521.31916800437011</v>
      </c>
      <c r="L8">
        <v>428.90823935963022</v>
      </c>
      <c r="M8">
        <v>529.59552822304204</v>
      </c>
      <c r="N8">
        <v>609.64289364311821</v>
      </c>
      <c r="O8">
        <v>532.26098881720486</v>
      </c>
    </row>
    <row r="9" spans="1:15" x14ac:dyDescent="0.25">
      <c r="A9" t="s">
        <v>170</v>
      </c>
      <c r="D9">
        <v>19835</v>
      </c>
      <c r="E9">
        <v>33517.032439894632</v>
      </c>
      <c r="F9">
        <v>31736</v>
      </c>
      <c r="G9">
        <v>157352.15121985591</v>
      </c>
      <c r="H9">
        <v>66068.515031011673</v>
      </c>
      <c r="I9">
        <v>117223.52651174831</v>
      </c>
      <c r="J9">
        <v>2652935.0736101829</v>
      </c>
      <c r="K9">
        <v>86169.714144722355</v>
      </c>
      <c r="L9">
        <v>70894.957730818889</v>
      </c>
      <c r="M9">
        <v>87537.727519200314</v>
      </c>
      <c r="N9">
        <v>100768.8899617604</v>
      </c>
      <c r="O9">
        <v>87978.305943243802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tabSelected="1" topLeftCell="E1" zoomScale="138" workbookViewId="0">
      <selection activeCell="H1" sqref="H1"/>
    </sheetView>
  </sheetViews>
  <sheetFormatPr defaultRowHeight="15" x14ac:dyDescent="0.25"/>
  <cols>
    <col min="1" max="1" width="11.140625" customWidth="1"/>
    <col min="2" max="2" width="9.28515625" bestFit="1" customWidth="1"/>
    <col min="6" max="6" width="6.5703125" customWidth="1"/>
    <col min="7" max="12" width="9.28515625" bestFit="1" customWidth="1"/>
    <col min="13" max="13" width="12.28515625" bestFit="1" customWidth="1"/>
    <col min="15" max="15" width="12" bestFit="1" customWidth="1"/>
    <col min="16" max="16" width="11" bestFit="1" customWidth="1"/>
    <col min="19" max="19" width="12" bestFit="1" customWidth="1"/>
  </cols>
  <sheetData>
    <row r="1" spans="1:19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171</v>
      </c>
      <c r="M1" s="1" t="s">
        <v>12</v>
      </c>
      <c r="Q1" t="s">
        <v>175</v>
      </c>
      <c r="R1" t="s">
        <v>174</v>
      </c>
    </row>
    <row r="2" spans="1:19" ht="45" customHeight="1" x14ac:dyDescent="0.25">
      <c r="A2" s="3" t="s">
        <v>13</v>
      </c>
      <c r="B2" s="3">
        <v>0</v>
      </c>
      <c r="C2" s="3" t="s">
        <v>14</v>
      </c>
      <c r="D2" s="3" t="s">
        <v>15</v>
      </c>
      <c r="E2" s="3" t="s">
        <v>16</v>
      </c>
      <c r="F2" s="3">
        <v>0</v>
      </c>
      <c r="G2" s="3">
        <v>2</v>
      </c>
      <c r="H2" s="4">
        <v>78.920566022210835</v>
      </c>
      <c r="I2" s="4">
        <v>3</v>
      </c>
      <c r="J2" s="4">
        <v>127.016448015096</v>
      </c>
      <c r="K2" s="4">
        <v>0.26584837956648</v>
      </c>
      <c r="L2" s="4">
        <v>0.88922814236097492</v>
      </c>
      <c r="M2" s="3">
        <v>1.056120255857532</v>
      </c>
      <c r="O2">
        <f>3.14*((J2/2+K2)^2-(J2/2)^2)</f>
        <v>106.25066764622697</v>
      </c>
      <c r="Q2" t="s">
        <v>173</v>
      </c>
      <c r="R2">
        <v>1.2E-2</v>
      </c>
      <c r="S2">
        <f>H2*R2</f>
        <v>0.94704679226652999</v>
      </c>
    </row>
    <row r="3" spans="1:19" x14ac:dyDescent="0.25">
      <c r="A3" s="3" t="s">
        <v>17</v>
      </c>
      <c r="B3" s="3">
        <v>0</v>
      </c>
      <c r="C3" s="3" t="s">
        <v>14</v>
      </c>
      <c r="D3" s="3" t="s">
        <v>15</v>
      </c>
      <c r="E3" s="3" t="s">
        <v>16</v>
      </c>
      <c r="F3" s="3">
        <v>3.1699293676106938E-2</v>
      </c>
      <c r="G3" s="3">
        <v>2</v>
      </c>
      <c r="H3" s="4">
        <v>83.349608379800571</v>
      </c>
      <c r="I3" s="4">
        <v>3</v>
      </c>
      <c r="J3" s="4">
        <v>123.5956760844126</v>
      </c>
      <c r="K3" s="4">
        <v>0.25868862436272411</v>
      </c>
      <c r="L3" s="4">
        <v>0.84197622139057771</v>
      </c>
      <c r="M3" s="3">
        <v>1</v>
      </c>
      <c r="O3">
        <f>3.14*((J3/2+K3)^2-(J3/2)^2)</f>
        <v>100.60470581539518</v>
      </c>
    </row>
    <row r="4" spans="1:19" x14ac:dyDescent="0.25">
      <c r="A4" s="3" t="s">
        <v>18</v>
      </c>
      <c r="B4" s="3">
        <v>1</v>
      </c>
      <c r="C4" s="3" t="s">
        <v>19</v>
      </c>
      <c r="D4" s="3" t="s">
        <v>15</v>
      </c>
      <c r="E4" s="3" t="s">
        <v>16</v>
      </c>
      <c r="F4" s="3">
        <v>64.342442506415622</v>
      </c>
      <c r="G4" s="3">
        <v>25</v>
      </c>
      <c r="H4" s="4">
        <v>643.12342559189415</v>
      </c>
      <c r="I4" s="4">
        <v>64.342442506415622</v>
      </c>
      <c r="J4" s="4">
        <v>44.494660239502771</v>
      </c>
      <c r="K4" s="4">
        <v>3.328947811979889</v>
      </c>
      <c r="L4" s="4">
        <v>3.616361036221758</v>
      </c>
      <c r="M4" s="3">
        <v>4.2950868971680762</v>
      </c>
      <c r="O4">
        <f>3.14*((J4/2+K4)^2-(J4/2)^2)</f>
        <v>499.89520750565691</v>
      </c>
      <c r="Q4" t="s">
        <v>172</v>
      </c>
      <c r="R4">
        <v>2E-3</v>
      </c>
      <c r="S4">
        <f>H4*R4</f>
        <v>1.2862468511837883</v>
      </c>
    </row>
    <row r="5" spans="1:19" ht="30" customHeight="1" x14ac:dyDescent="0.25">
      <c r="A5" s="3" t="s">
        <v>20</v>
      </c>
      <c r="B5" s="3">
        <v>1.37</v>
      </c>
      <c r="C5" s="3" t="s">
        <v>19</v>
      </c>
      <c r="D5" s="3" t="s">
        <v>15</v>
      </c>
      <c r="E5" s="3" t="s">
        <v>21</v>
      </c>
      <c r="F5" s="3">
        <v>10.02694973093247</v>
      </c>
      <c r="G5" s="3">
        <v>25</v>
      </c>
      <c r="H5" s="4">
        <v>223.3663212853555</v>
      </c>
      <c r="I5" s="4">
        <v>10.02694973093247</v>
      </c>
      <c r="J5" s="4">
        <v>75.499871675314196</v>
      </c>
      <c r="K5" s="4">
        <v>0.88027141625607896</v>
      </c>
      <c r="L5" s="4">
        <v>1.733399539358472</v>
      </c>
      <c r="M5" s="3">
        <v>2.058727426406</v>
      </c>
    </row>
    <row r="6" spans="1:19" x14ac:dyDescent="0.25">
      <c r="A6" s="3" t="s">
        <v>22</v>
      </c>
      <c r="B6" s="3">
        <v>0.02</v>
      </c>
      <c r="C6" s="3" t="s">
        <v>19</v>
      </c>
      <c r="D6" s="3" t="s">
        <v>15</v>
      </c>
      <c r="E6" s="3" t="s">
        <v>23</v>
      </c>
      <c r="F6" s="3">
        <v>9.520745233424222</v>
      </c>
      <c r="G6" s="3">
        <v>18</v>
      </c>
      <c r="H6" s="4">
        <v>121.24512052529739</v>
      </c>
      <c r="I6" s="4">
        <v>9.520745233424222</v>
      </c>
      <c r="J6" s="4">
        <v>102.4761792140974</v>
      </c>
      <c r="K6" s="4">
        <v>1.1344762730141209</v>
      </c>
      <c r="L6" s="4">
        <v>3.0339804213678092</v>
      </c>
      <c r="M6" s="3">
        <v>3.603403925537227</v>
      </c>
    </row>
    <row r="7" spans="1:19" x14ac:dyDescent="0.25">
      <c r="A7" s="3" t="s">
        <v>17</v>
      </c>
      <c r="B7" s="3">
        <v>0</v>
      </c>
      <c r="C7" s="3" t="s">
        <v>19</v>
      </c>
      <c r="D7" s="3" t="s">
        <v>15</v>
      </c>
      <c r="E7" s="3" t="s">
        <v>16</v>
      </c>
      <c r="F7" s="3">
        <v>3.1699293676106938E-2</v>
      </c>
      <c r="G7" s="3">
        <v>30</v>
      </c>
      <c r="H7" s="4">
        <v>1.6676866428340911</v>
      </c>
      <c r="I7" s="4">
        <v>3</v>
      </c>
      <c r="J7" s="4">
        <v>873.77141756096307</v>
      </c>
      <c r="K7" s="4">
        <v>3.0480398287010342</v>
      </c>
      <c r="L7" s="4">
        <v>70.037397713886492</v>
      </c>
      <c r="M7" s="3">
        <v>83.182156377546193</v>
      </c>
    </row>
    <row r="8" spans="1:19" ht="30" customHeight="1" x14ac:dyDescent="0.25">
      <c r="A8" s="3" t="s">
        <v>24</v>
      </c>
      <c r="B8" s="3">
        <v>1.37</v>
      </c>
      <c r="C8" s="3" t="s">
        <v>19</v>
      </c>
      <c r="D8" s="3" t="s">
        <v>25</v>
      </c>
      <c r="E8" s="3" t="s">
        <v>26</v>
      </c>
      <c r="F8" s="3">
        <v>4.9852148616289291</v>
      </c>
      <c r="G8" s="3">
        <v>20</v>
      </c>
      <c r="H8" s="4">
        <v>86.048015504623109</v>
      </c>
      <c r="I8" s="4">
        <v>4.9852148616289291</v>
      </c>
      <c r="J8" s="4">
        <v>121.6423018972575</v>
      </c>
      <c r="K8" s="4">
        <v>0.70513140839646649</v>
      </c>
      <c r="L8" s="4">
        <v>2.2503963868796339</v>
      </c>
      <c r="M8" s="3">
        <v>2.672755274683364</v>
      </c>
    </row>
    <row r="9" spans="1:19" ht="30" customHeight="1" x14ac:dyDescent="0.25">
      <c r="A9" s="3" t="s">
        <v>27</v>
      </c>
      <c r="B9" s="3">
        <v>1</v>
      </c>
      <c r="C9" s="3" t="s">
        <v>19</v>
      </c>
      <c r="D9" s="3" t="s">
        <v>15</v>
      </c>
      <c r="E9" s="3" t="s">
        <v>28</v>
      </c>
      <c r="F9" s="3">
        <v>1.2980694345810779</v>
      </c>
      <c r="G9" s="3">
        <v>20</v>
      </c>
      <c r="H9" s="4">
        <v>27.130438208811341</v>
      </c>
      <c r="I9" s="4">
        <v>1.2980694345810779</v>
      </c>
      <c r="J9" s="4">
        <v>216.63401811712569</v>
      </c>
      <c r="K9" s="4">
        <v>0.3269837179166562</v>
      </c>
      <c r="L9" s="4">
        <v>1.8664911260084049</v>
      </c>
      <c r="M9" s="3">
        <v>2.2167979078147542</v>
      </c>
    </row>
    <row r="10" spans="1:19" x14ac:dyDescent="0.25">
      <c r="A10" s="3" t="s">
        <v>29</v>
      </c>
      <c r="B10" s="3">
        <v>124</v>
      </c>
      <c r="C10" s="3" t="s">
        <v>19</v>
      </c>
      <c r="D10" s="3" t="s">
        <v>25</v>
      </c>
      <c r="E10" s="3" t="s">
        <v>30</v>
      </c>
      <c r="F10" s="3">
        <v>5.9641398938878663</v>
      </c>
      <c r="G10" s="3">
        <v>20</v>
      </c>
      <c r="H10" s="4">
        <v>101.1197195012704</v>
      </c>
      <c r="I10" s="4">
        <v>5.9641398938878663</v>
      </c>
      <c r="J10" s="4">
        <v>112.2114388447237</v>
      </c>
      <c r="K10" s="4">
        <v>0.77819153367950589</v>
      </c>
      <c r="L10" s="4">
        <v>2.2883921376338239</v>
      </c>
      <c r="M10" s="3">
        <v>2.717882143814462</v>
      </c>
    </row>
    <row r="11" spans="1:19" x14ac:dyDescent="0.25">
      <c r="A11" s="3" t="s">
        <v>31</v>
      </c>
      <c r="B11" s="3">
        <v>675</v>
      </c>
      <c r="C11" s="3" t="s">
        <v>19</v>
      </c>
      <c r="D11" s="3" t="s">
        <v>25</v>
      </c>
      <c r="E11" s="3" t="s">
        <v>26</v>
      </c>
      <c r="F11" s="3">
        <v>16.89621118901141</v>
      </c>
      <c r="G11" s="3">
        <v>20</v>
      </c>
      <c r="H11" s="4">
        <v>248.9801954923407</v>
      </c>
      <c r="I11" s="4">
        <v>16.89621118901141</v>
      </c>
      <c r="J11" s="4">
        <v>71.510968108502468</v>
      </c>
      <c r="K11" s="4">
        <v>1.4049586273161829</v>
      </c>
      <c r="L11" s="4">
        <v>2.5992493347807151</v>
      </c>
      <c r="M11" s="3">
        <v>3.0870816404861028</v>
      </c>
    </row>
    <row r="12" spans="1:19" x14ac:dyDescent="0.25">
      <c r="A12" s="3" t="s">
        <v>32</v>
      </c>
      <c r="B12" s="3">
        <v>1430</v>
      </c>
      <c r="C12" s="3" t="s">
        <v>19</v>
      </c>
      <c r="D12" s="3" t="s">
        <v>25</v>
      </c>
      <c r="E12" s="3" t="s">
        <v>16</v>
      </c>
      <c r="F12" s="3">
        <v>6.6538093256851312</v>
      </c>
      <c r="G12" s="3">
        <v>20</v>
      </c>
      <c r="H12" s="4">
        <v>112.4898552006414</v>
      </c>
      <c r="I12" s="4">
        <v>6.6538093256851312</v>
      </c>
      <c r="J12" s="4">
        <v>106.3894051003885</v>
      </c>
      <c r="K12" s="4">
        <v>0.82313350675704444</v>
      </c>
      <c r="L12" s="4">
        <v>2.2931085978537871</v>
      </c>
      <c r="M12" s="3">
        <v>2.7234837987070128</v>
      </c>
    </row>
  </sheetData>
  <conditionalFormatting sqref="H2:H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workbookViewId="0">
      <selection activeCell="I10" sqref="I10"/>
    </sheetView>
  </sheetViews>
  <sheetFormatPr defaultRowHeight="15" x14ac:dyDescent="0.25"/>
  <sheetData>
    <row r="1" spans="1:15" ht="60" customHeight="1" x14ac:dyDescent="0.25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38</v>
      </c>
      <c r="K1" s="9" t="s">
        <v>42</v>
      </c>
      <c r="L1" s="9" t="s">
        <v>43</v>
      </c>
      <c r="M1" s="9" t="s">
        <v>44</v>
      </c>
      <c r="N1" s="9" t="s">
        <v>45</v>
      </c>
      <c r="O1" s="9" t="s">
        <v>46</v>
      </c>
    </row>
    <row r="2" spans="1:15" ht="30" customHeight="1" x14ac:dyDescent="0.25">
      <c r="A2" s="10" t="s">
        <v>47</v>
      </c>
      <c r="B2" s="10">
        <v>25</v>
      </c>
      <c r="C2" s="10">
        <v>35</v>
      </c>
      <c r="D2" s="10">
        <v>875</v>
      </c>
      <c r="E2" s="10">
        <v>924.10522387534047</v>
      </c>
      <c r="F2" s="10">
        <v>875</v>
      </c>
      <c r="G2" s="10">
        <v>3758.2010350220671</v>
      </c>
      <c r="H2" s="10">
        <v>1801.38649810525</v>
      </c>
      <c r="I2" s="10">
        <v>3152.9784348450739</v>
      </c>
      <c r="J2" s="10">
        <v>72784.386830352916</v>
      </c>
      <c r="K2" s="10">
        <v>2338.6608653479429</v>
      </c>
      <c r="L2" s="10">
        <v>1939.69816933791</v>
      </c>
      <c r="M2" s="10">
        <v>2378.146875837655</v>
      </c>
      <c r="N2" s="10">
        <v>2701.19643542534</v>
      </c>
      <c r="O2" s="10">
        <v>2383.0483238686361</v>
      </c>
    </row>
    <row r="3" spans="1:15" ht="30" customHeight="1" x14ac:dyDescent="0.25">
      <c r="A3" s="10" t="s">
        <v>48</v>
      </c>
      <c r="B3" s="10">
        <v>5</v>
      </c>
      <c r="C3" s="10">
        <v>64</v>
      </c>
      <c r="D3" s="10">
        <v>320</v>
      </c>
      <c r="E3" s="10">
        <v>337.95848187441032</v>
      </c>
      <c r="F3" s="10">
        <v>320</v>
      </c>
      <c r="G3" s="10">
        <v>1374.4278070937839</v>
      </c>
      <c r="H3" s="10">
        <v>658.79277644991987</v>
      </c>
      <c r="I3" s="10">
        <v>1153.0892561719129</v>
      </c>
      <c r="J3" s="10">
        <v>26618.29004081478</v>
      </c>
      <c r="K3" s="10">
        <v>855.28168789867652</v>
      </c>
      <c r="L3" s="10">
        <v>709.37533050072125</v>
      </c>
      <c r="M3" s="10">
        <v>869.72228602062796</v>
      </c>
      <c r="N3" s="10">
        <v>987.866124955553</v>
      </c>
      <c r="O3" s="10">
        <v>871.51481558624414</v>
      </c>
    </row>
    <row r="4" spans="1:15" x14ac:dyDescent="0.25">
      <c r="A4" s="10" t="s">
        <v>49</v>
      </c>
      <c r="B4" s="10">
        <v>50</v>
      </c>
      <c r="C4" s="10">
        <v>32</v>
      </c>
      <c r="D4" s="10">
        <v>1600</v>
      </c>
      <c r="E4" s="10">
        <v>1689.792409372051</v>
      </c>
      <c r="F4" s="10">
        <v>1600</v>
      </c>
      <c r="G4" s="10">
        <v>6872.139035468922</v>
      </c>
      <c r="H4" s="10">
        <v>3293.963882249599</v>
      </c>
      <c r="I4" s="10">
        <v>5765.4462808595636</v>
      </c>
      <c r="J4" s="10">
        <v>133091.45020407389</v>
      </c>
      <c r="K4" s="10">
        <v>4276.4084394933834</v>
      </c>
      <c r="L4" s="10">
        <v>3546.8766525036058</v>
      </c>
      <c r="M4" s="10">
        <v>4348.6114301031403</v>
      </c>
      <c r="N4" s="10">
        <v>4939.3306247777646</v>
      </c>
      <c r="O4" s="10">
        <v>4357.5740779312209</v>
      </c>
    </row>
    <row r="5" spans="1:15" ht="30" customHeight="1" x14ac:dyDescent="0.25">
      <c r="A5" s="10" t="s">
        <v>50</v>
      </c>
      <c r="B5" s="10">
        <v>12</v>
      </c>
      <c r="C5" s="10">
        <v>4</v>
      </c>
      <c r="D5" s="10">
        <v>48</v>
      </c>
      <c r="E5" s="10">
        <v>50.693772281161543</v>
      </c>
      <c r="F5" s="10">
        <v>48</v>
      </c>
      <c r="G5" s="10">
        <v>206.16417106406769</v>
      </c>
      <c r="H5" s="10">
        <v>98.818916467487981</v>
      </c>
      <c r="I5" s="10">
        <v>172.96338842578689</v>
      </c>
      <c r="J5" s="10">
        <v>3992.7435061222168</v>
      </c>
      <c r="K5" s="10">
        <v>128.2922531848015</v>
      </c>
      <c r="L5" s="10">
        <v>106.40629957510821</v>
      </c>
      <c r="M5" s="10">
        <v>130.45834290309421</v>
      </c>
      <c r="N5" s="10">
        <v>148.17991874333299</v>
      </c>
      <c r="O5" s="10">
        <v>130.72722233793661</v>
      </c>
    </row>
    <row r="6" spans="1:15" ht="60" customHeight="1" x14ac:dyDescent="0.25">
      <c r="A6" s="10" t="s">
        <v>51</v>
      </c>
      <c r="B6" s="10">
        <v>500</v>
      </c>
      <c r="C6" s="10">
        <v>8</v>
      </c>
      <c r="D6" s="10">
        <v>4000</v>
      </c>
      <c r="E6" s="10">
        <v>4224.4810234301276</v>
      </c>
      <c r="F6" s="10">
        <v>4000</v>
      </c>
      <c r="G6" s="10">
        <v>17180.34758867231</v>
      </c>
      <c r="H6" s="10">
        <v>8234.9097056239989</v>
      </c>
      <c r="I6" s="10">
        <v>14413.615702148911</v>
      </c>
      <c r="J6" s="10">
        <v>332728.62551018479</v>
      </c>
      <c r="K6" s="10">
        <v>10691.021098733459</v>
      </c>
      <c r="L6" s="10">
        <v>8867.1916312590147</v>
      </c>
      <c r="M6" s="10">
        <v>10871.528575257849</v>
      </c>
      <c r="N6" s="10">
        <v>12348.32656194441</v>
      </c>
      <c r="O6" s="10">
        <v>10893.935194828049</v>
      </c>
    </row>
    <row r="7" spans="1:15" ht="60" customHeight="1" x14ac:dyDescent="0.25">
      <c r="A7" s="10" t="s">
        <v>52</v>
      </c>
      <c r="B7" s="10">
        <v>400</v>
      </c>
      <c r="C7" s="10">
        <v>32</v>
      </c>
      <c r="D7" s="10">
        <v>12800</v>
      </c>
      <c r="E7" s="10">
        <v>13518.33927497641</v>
      </c>
      <c r="F7" s="10">
        <v>12800</v>
      </c>
      <c r="G7" s="10">
        <v>54977.112283751383</v>
      </c>
      <c r="H7" s="10">
        <v>26351.711057996799</v>
      </c>
      <c r="I7" s="10">
        <v>46123.570246876508</v>
      </c>
      <c r="J7" s="10">
        <v>1064731.6016325911</v>
      </c>
      <c r="K7" s="10">
        <v>34211.26751594706</v>
      </c>
      <c r="L7" s="10">
        <v>28375.01322002885</v>
      </c>
      <c r="M7" s="10">
        <v>34788.891440825122</v>
      </c>
      <c r="N7" s="10">
        <v>39514.644998222117</v>
      </c>
      <c r="O7" s="10">
        <v>34860.592623449767</v>
      </c>
    </row>
    <row r="8" spans="1:15" ht="60" customHeight="1" x14ac:dyDescent="0.25">
      <c r="A8" s="10" t="s">
        <v>53</v>
      </c>
      <c r="B8" s="10">
        <v>24</v>
      </c>
      <c r="C8" s="10">
        <v>8</v>
      </c>
      <c r="D8" s="10">
        <v>192</v>
      </c>
      <c r="E8" s="10">
        <v>202.77508912464609</v>
      </c>
      <c r="F8" s="10">
        <v>192</v>
      </c>
      <c r="G8" s="10">
        <v>824.65668425627064</v>
      </c>
      <c r="H8" s="10">
        <v>395.27566586995192</v>
      </c>
      <c r="I8" s="10">
        <v>691.85355370314767</v>
      </c>
      <c r="J8" s="10">
        <v>15970.974024488871</v>
      </c>
      <c r="K8" s="10">
        <v>513.16901273920587</v>
      </c>
      <c r="L8" s="10">
        <v>425.62519830043271</v>
      </c>
      <c r="M8" s="10">
        <v>521.83337161237682</v>
      </c>
      <c r="N8" s="10">
        <v>592.71967497333185</v>
      </c>
      <c r="O8" s="10">
        <v>522.90888935174644</v>
      </c>
    </row>
    <row r="9" spans="1:15" x14ac:dyDescent="0.25">
      <c r="A9" s="10" t="s">
        <v>54</v>
      </c>
      <c r="B9" s="10"/>
      <c r="C9" s="10"/>
      <c r="D9" s="10">
        <v>19835</v>
      </c>
      <c r="E9" s="10">
        <v>20948.145274934152</v>
      </c>
      <c r="F9" s="10">
        <v>19835</v>
      </c>
      <c r="G9" s="10">
        <v>85193.04860532879</v>
      </c>
      <c r="H9" s="10">
        <v>40834.858502763003</v>
      </c>
      <c r="I9" s="10">
        <v>71473.516863030905</v>
      </c>
      <c r="J9" s="10">
        <v>1649918.071748629</v>
      </c>
      <c r="K9" s="10">
        <v>53014.100873344527</v>
      </c>
      <c r="L9" s="10">
        <v>43970.186501505639</v>
      </c>
      <c r="M9" s="10">
        <v>53909.192322559873</v>
      </c>
      <c r="N9" s="10">
        <v>61232.26433904186</v>
      </c>
      <c r="O9" s="10">
        <v>54020.301147353603</v>
      </c>
    </row>
  </sheetData>
  <conditionalFormatting sqref="D9:O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>
      <selection activeCell="K32" sqref="K32"/>
    </sheetView>
  </sheetViews>
  <sheetFormatPr defaultRowHeight="15" x14ac:dyDescent="0.25"/>
  <sheetData>
    <row r="1" spans="1:13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customHeight="1" x14ac:dyDescent="0.25">
      <c r="A2" s="3" t="s">
        <v>13</v>
      </c>
      <c r="B2" s="3">
        <v>0</v>
      </c>
      <c r="C2" s="3" t="s">
        <v>14</v>
      </c>
      <c r="D2" s="3" t="s">
        <v>15</v>
      </c>
      <c r="E2" s="3" t="s">
        <v>16</v>
      </c>
      <c r="F2" s="13">
        <v>0</v>
      </c>
      <c r="G2" s="3">
        <v>2</v>
      </c>
      <c r="H2" s="4">
        <v>78.920566022210835</v>
      </c>
      <c r="I2" s="4">
        <v>3</v>
      </c>
      <c r="J2" s="4">
        <v>127.016448015096</v>
      </c>
      <c r="K2" s="4">
        <v>0.26584837956648</v>
      </c>
      <c r="L2" s="4">
        <v>0.88922814236097492</v>
      </c>
      <c r="M2" s="3">
        <v>1.056120255857532</v>
      </c>
    </row>
    <row r="3" spans="1:13" x14ac:dyDescent="0.25">
      <c r="A3" s="3" t="s">
        <v>17</v>
      </c>
      <c r="B3" s="3">
        <v>0</v>
      </c>
      <c r="C3" s="3" t="s">
        <v>14</v>
      </c>
      <c r="D3" s="3" t="s">
        <v>15</v>
      </c>
      <c r="E3" s="3" t="s">
        <v>16</v>
      </c>
      <c r="F3" s="13">
        <v>3.1699293676106938E-2</v>
      </c>
      <c r="G3" s="3">
        <v>2</v>
      </c>
      <c r="H3" s="4">
        <v>83.349608379800571</v>
      </c>
      <c r="I3" s="4">
        <v>3</v>
      </c>
      <c r="J3" s="4">
        <v>123.5956760844126</v>
      </c>
      <c r="K3" s="4">
        <v>0.25868862436272411</v>
      </c>
      <c r="L3" s="4">
        <v>0.84197622139057771</v>
      </c>
      <c r="M3" s="3">
        <v>1</v>
      </c>
    </row>
    <row r="4" spans="1:13" x14ac:dyDescent="0.25">
      <c r="A4" s="3" t="s">
        <v>18</v>
      </c>
      <c r="B4" s="3">
        <v>1</v>
      </c>
      <c r="C4" s="3" t="s">
        <v>19</v>
      </c>
      <c r="D4" s="3" t="s">
        <v>15</v>
      </c>
      <c r="E4" s="3" t="s">
        <v>16</v>
      </c>
      <c r="F4" s="13">
        <v>64.342442506415622</v>
      </c>
      <c r="G4" s="3">
        <v>25</v>
      </c>
      <c r="H4" s="4">
        <v>705.71002411875452</v>
      </c>
      <c r="I4" s="4">
        <v>64.342442506415622</v>
      </c>
      <c r="J4" s="4">
        <v>42.475834126048873</v>
      </c>
      <c r="K4" s="4">
        <v>3.1779057153108679</v>
      </c>
      <c r="L4" s="4">
        <v>3.295640444807705</v>
      </c>
      <c r="M4" s="3">
        <v>3.914172824696573</v>
      </c>
    </row>
    <row r="5" spans="1:13" ht="30" customHeight="1" x14ac:dyDescent="0.25">
      <c r="A5" s="3" t="s">
        <v>20</v>
      </c>
      <c r="B5" s="3">
        <v>1.37</v>
      </c>
      <c r="C5" s="3" t="s">
        <v>19</v>
      </c>
      <c r="D5" s="3" t="s">
        <v>15</v>
      </c>
      <c r="E5" s="3" t="s">
        <v>21</v>
      </c>
      <c r="F5" s="13">
        <v>10.02694973093247</v>
      </c>
      <c r="G5" s="3">
        <v>25</v>
      </c>
      <c r="H5" s="4">
        <v>224.8147274761352</v>
      </c>
      <c r="I5" s="4">
        <v>10.02694973093247</v>
      </c>
      <c r="J5" s="4">
        <v>75.256268451348319</v>
      </c>
      <c r="K5" s="4">
        <v>0.87743118685956856</v>
      </c>
      <c r="L5" s="4">
        <v>1.7222318251607069</v>
      </c>
      <c r="M5" s="3">
        <v>2.0454637333063048</v>
      </c>
    </row>
    <row r="6" spans="1:13" x14ac:dyDescent="0.25">
      <c r="A6" s="3" t="s">
        <v>22</v>
      </c>
      <c r="B6" s="3">
        <v>0.02</v>
      </c>
      <c r="C6" s="3" t="s">
        <v>19</v>
      </c>
      <c r="D6" s="3" t="s">
        <v>15</v>
      </c>
      <c r="E6" s="3" t="s">
        <v>23</v>
      </c>
      <c r="F6" s="13">
        <v>9.520745233424222</v>
      </c>
      <c r="G6" s="3">
        <v>18</v>
      </c>
      <c r="H6" s="4">
        <v>123.01614203381899</v>
      </c>
      <c r="I6" s="4">
        <v>9.520745233424222</v>
      </c>
      <c r="J6" s="4">
        <v>101.73584764988659</v>
      </c>
      <c r="K6" s="4">
        <v>1.1262803332337561</v>
      </c>
      <c r="L6" s="4">
        <v>2.990301238344816</v>
      </c>
      <c r="M6" s="3">
        <v>3.5515269462196239</v>
      </c>
    </row>
    <row r="7" spans="1:13" x14ac:dyDescent="0.25">
      <c r="A7" s="3" t="s">
        <v>17</v>
      </c>
      <c r="B7" s="3">
        <v>0</v>
      </c>
      <c r="C7" s="3" t="s">
        <v>19</v>
      </c>
      <c r="D7" s="3" t="s">
        <v>15</v>
      </c>
      <c r="E7" s="3" t="s">
        <v>16</v>
      </c>
      <c r="F7" s="13">
        <v>3.1699293676106938E-2</v>
      </c>
      <c r="G7" s="3">
        <v>30</v>
      </c>
      <c r="H7" s="4">
        <v>1.6724419934174239</v>
      </c>
      <c r="I7" s="4">
        <v>3</v>
      </c>
      <c r="J7" s="4">
        <v>872.52831100051424</v>
      </c>
      <c r="K7" s="4">
        <v>3.0437034104669101</v>
      </c>
      <c r="L7" s="4">
        <v>69.838256349709923</v>
      </c>
      <c r="M7" s="3">
        <v>82.945639764466947</v>
      </c>
    </row>
    <row r="8" spans="1:13" ht="30" customHeight="1" x14ac:dyDescent="0.25">
      <c r="A8" s="3" t="s">
        <v>24</v>
      </c>
      <c r="B8" s="3">
        <v>1.37</v>
      </c>
      <c r="C8" s="3" t="s">
        <v>19</v>
      </c>
      <c r="D8" s="3" t="s">
        <v>25</v>
      </c>
      <c r="E8" s="3" t="s">
        <v>26</v>
      </c>
      <c r="F8" s="13">
        <v>4.9852148616289291</v>
      </c>
      <c r="G8" s="3">
        <v>20</v>
      </c>
      <c r="H8" s="4">
        <v>86.840321214593487</v>
      </c>
      <c r="I8" s="4">
        <v>4.9852148616289291</v>
      </c>
      <c r="J8" s="4">
        <v>121.08611596580469</v>
      </c>
      <c r="K8" s="4">
        <v>0.7019073312205274</v>
      </c>
      <c r="L8" s="4">
        <v>2.2298644279683462</v>
      </c>
      <c r="M8" s="3">
        <v>2.6483698367224449</v>
      </c>
    </row>
    <row r="9" spans="1:13" ht="30" customHeight="1" x14ac:dyDescent="0.25">
      <c r="A9" s="3" t="s">
        <v>27</v>
      </c>
      <c r="B9" s="3">
        <v>1</v>
      </c>
      <c r="C9" s="3" t="s">
        <v>19</v>
      </c>
      <c r="D9" s="3" t="s">
        <v>15</v>
      </c>
      <c r="E9" s="3" t="s">
        <v>28</v>
      </c>
      <c r="F9" s="13">
        <v>1.2980694345810779</v>
      </c>
      <c r="G9" s="3">
        <v>20</v>
      </c>
      <c r="H9" s="4">
        <v>27.251191893232711</v>
      </c>
      <c r="I9" s="4">
        <v>1.2980694345810779</v>
      </c>
      <c r="J9" s="4">
        <v>216.15351804858801</v>
      </c>
      <c r="K9" s="4">
        <v>0.326258459251211</v>
      </c>
      <c r="L9" s="4">
        <v>1.8582204536176989</v>
      </c>
      <c r="M9" s="3">
        <v>2.2069749791136961</v>
      </c>
    </row>
    <row r="10" spans="1:13" x14ac:dyDescent="0.25">
      <c r="A10" s="3" t="s">
        <v>29</v>
      </c>
      <c r="B10" s="3">
        <v>124</v>
      </c>
      <c r="C10" s="3" t="s">
        <v>19</v>
      </c>
      <c r="D10" s="3" t="s">
        <v>25</v>
      </c>
      <c r="E10" s="3" t="s">
        <v>30</v>
      </c>
      <c r="F10" s="13">
        <v>5.9641398938878663</v>
      </c>
      <c r="G10" s="3">
        <v>20</v>
      </c>
      <c r="H10" s="4">
        <v>101.9912434884527</v>
      </c>
      <c r="I10" s="4">
        <v>5.9641398938878663</v>
      </c>
      <c r="J10" s="4">
        <v>111.7309820366923</v>
      </c>
      <c r="K10" s="4">
        <v>0.77485954342826169</v>
      </c>
      <c r="L10" s="4">
        <v>2.2688376291111978</v>
      </c>
      <c r="M10" s="3">
        <v>2.694657606083064</v>
      </c>
    </row>
    <row r="11" spans="1:13" x14ac:dyDescent="0.25">
      <c r="A11" s="3" t="s">
        <v>31</v>
      </c>
      <c r="B11" s="3">
        <v>675</v>
      </c>
      <c r="C11" s="3" t="s">
        <v>19</v>
      </c>
      <c r="D11" s="3" t="s">
        <v>25</v>
      </c>
      <c r="E11" s="3" t="s">
        <v>26</v>
      </c>
      <c r="F11" s="13">
        <v>16.89621118901141</v>
      </c>
      <c r="G11" s="3">
        <v>20</v>
      </c>
      <c r="H11" s="4">
        <v>253.13209411454471</v>
      </c>
      <c r="I11" s="4">
        <v>16.89621118901141</v>
      </c>
      <c r="J11" s="4">
        <v>70.922078242582288</v>
      </c>
      <c r="K11" s="4">
        <v>1.393388851104955</v>
      </c>
      <c r="L11" s="4">
        <v>2.5566161800652232</v>
      </c>
      <c r="M11" s="3">
        <v>3.036447010157612</v>
      </c>
    </row>
    <row r="12" spans="1:13" x14ac:dyDescent="0.25">
      <c r="A12" s="3" t="s">
        <v>32</v>
      </c>
      <c r="B12" s="3">
        <v>1430</v>
      </c>
      <c r="C12" s="3" t="s">
        <v>19</v>
      </c>
      <c r="D12" s="3" t="s">
        <v>25</v>
      </c>
      <c r="E12" s="3" t="s">
        <v>16</v>
      </c>
      <c r="F12" s="13">
        <v>6.6538093256851312</v>
      </c>
      <c r="G12" s="3">
        <v>20</v>
      </c>
      <c r="H12" s="4">
        <v>113.6575987448652</v>
      </c>
      <c r="I12" s="4">
        <v>6.6538093256851312</v>
      </c>
      <c r="J12" s="4">
        <v>105.8414597884961</v>
      </c>
      <c r="K12" s="4">
        <v>0.81889406068002701</v>
      </c>
      <c r="L12" s="4">
        <v>2.269548688169623</v>
      </c>
      <c r="M12" s="3">
        <v>2.695502118125519</v>
      </c>
    </row>
  </sheetData>
  <conditionalFormatting sqref="H2:H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/>
  </sheetViews>
  <sheetFormatPr defaultRowHeight="15" x14ac:dyDescent="0.25"/>
  <sheetData>
    <row r="1" spans="1:15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38</v>
      </c>
      <c r="K1" s="14" t="s">
        <v>42</v>
      </c>
      <c r="L1" s="14" t="s">
        <v>43</v>
      </c>
      <c r="M1" s="14" t="s">
        <v>44</v>
      </c>
      <c r="N1" s="14" t="s">
        <v>45</v>
      </c>
      <c r="O1" s="14" t="s">
        <v>46</v>
      </c>
    </row>
    <row r="2" spans="1:15" x14ac:dyDescent="0.25">
      <c r="A2" t="s">
        <v>47</v>
      </c>
      <c r="B2">
        <v>25</v>
      </c>
      <c r="C2">
        <v>35</v>
      </c>
      <c r="D2">
        <v>875</v>
      </c>
      <c r="E2">
        <v>924.10522387534047</v>
      </c>
      <c r="F2">
        <v>875</v>
      </c>
      <c r="G2">
        <v>3424.901221609502</v>
      </c>
      <c r="H2">
        <v>1789.7807666430169</v>
      </c>
      <c r="I2">
        <v>3107.586077942171</v>
      </c>
      <c r="J2">
        <v>72577.434793908571</v>
      </c>
      <c r="K2">
        <v>2317.3236071321398</v>
      </c>
      <c r="L2">
        <v>1931.103106724484</v>
      </c>
      <c r="M2">
        <v>2357.825405322681</v>
      </c>
      <c r="N2">
        <v>2656.8911338879111</v>
      </c>
      <c r="O2">
        <v>2358.5643533598291</v>
      </c>
    </row>
    <row r="3" spans="1:15" x14ac:dyDescent="0.25">
      <c r="A3" t="s">
        <v>48</v>
      </c>
      <c r="B3">
        <v>5</v>
      </c>
      <c r="C3">
        <v>64</v>
      </c>
      <c r="D3">
        <v>320</v>
      </c>
      <c r="E3">
        <v>337.95848187441032</v>
      </c>
      <c r="F3">
        <v>320</v>
      </c>
      <c r="G3">
        <v>1252.535303902903</v>
      </c>
      <c r="H3">
        <v>654.54839465801751</v>
      </c>
      <c r="I3">
        <v>1136.48862279028</v>
      </c>
      <c r="J3">
        <v>26542.604724629418</v>
      </c>
      <c r="K3">
        <v>847.47834775118247</v>
      </c>
      <c r="L3">
        <v>706.23199331638273</v>
      </c>
      <c r="M3">
        <v>862.29043394658049</v>
      </c>
      <c r="N3">
        <v>971.66304325043586</v>
      </c>
      <c r="O3">
        <v>862.56067780016588</v>
      </c>
    </row>
    <row r="4" spans="1:15" x14ac:dyDescent="0.25">
      <c r="A4" t="s">
        <v>49</v>
      </c>
      <c r="B4">
        <v>50</v>
      </c>
      <c r="C4">
        <v>32</v>
      </c>
      <c r="D4">
        <v>1600</v>
      </c>
      <c r="E4">
        <v>1689.792409372051</v>
      </c>
      <c r="F4">
        <v>1600</v>
      </c>
      <c r="G4">
        <v>6262.6765195145172</v>
      </c>
      <c r="H4">
        <v>3272.741973290088</v>
      </c>
      <c r="I4">
        <v>5682.4431139513981</v>
      </c>
      <c r="J4">
        <v>132713.02362314711</v>
      </c>
      <c r="K4">
        <v>4237.3917387559122</v>
      </c>
      <c r="L4">
        <v>3531.159966581914</v>
      </c>
      <c r="M4">
        <v>4311.4521697329028</v>
      </c>
      <c r="N4">
        <v>4858.3152162521792</v>
      </c>
      <c r="O4">
        <v>4312.8033890008301</v>
      </c>
    </row>
    <row r="5" spans="1:15" x14ac:dyDescent="0.25">
      <c r="A5" t="s">
        <v>50</v>
      </c>
      <c r="B5">
        <v>12</v>
      </c>
      <c r="C5">
        <v>4</v>
      </c>
      <c r="D5">
        <v>48</v>
      </c>
      <c r="E5">
        <v>50.693772281161543</v>
      </c>
      <c r="F5">
        <v>48</v>
      </c>
      <c r="G5">
        <v>187.8802955854355</v>
      </c>
      <c r="H5">
        <v>98.182259198702639</v>
      </c>
      <c r="I5">
        <v>170.47329341854191</v>
      </c>
      <c r="J5">
        <v>3981.3907086944141</v>
      </c>
      <c r="K5">
        <v>127.1217521626774</v>
      </c>
      <c r="L5">
        <v>105.93479899745741</v>
      </c>
      <c r="M5">
        <v>129.3435650919871</v>
      </c>
      <c r="N5">
        <v>145.7494564875654</v>
      </c>
      <c r="O5">
        <v>129.3841016700249</v>
      </c>
    </row>
    <row r="6" spans="1:15" x14ac:dyDescent="0.25">
      <c r="A6" t="s">
        <v>51</v>
      </c>
      <c r="B6">
        <v>500</v>
      </c>
      <c r="C6">
        <v>8</v>
      </c>
      <c r="D6">
        <v>4000</v>
      </c>
      <c r="E6">
        <v>4224.4810234301276</v>
      </c>
      <c r="F6">
        <v>4000</v>
      </c>
      <c r="G6">
        <v>15656.691298786291</v>
      </c>
      <c r="H6">
        <v>8181.8549332252196</v>
      </c>
      <c r="I6">
        <v>14206.107784878501</v>
      </c>
      <c r="J6">
        <v>331782.55905786779</v>
      </c>
      <c r="K6">
        <v>10593.479346889781</v>
      </c>
      <c r="L6">
        <v>8827.899916454784</v>
      </c>
      <c r="M6">
        <v>10778.630424332259</v>
      </c>
      <c r="N6">
        <v>12145.78804063045</v>
      </c>
      <c r="O6">
        <v>10782.00847250207</v>
      </c>
    </row>
    <row r="7" spans="1:15" x14ac:dyDescent="0.25">
      <c r="A7" t="s">
        <v>52</v>
      </c>
      <c r="B7">
        <v>400</v>
      </c>
      <c r="C7">
        <v>32</v>
      </c>
      <c r="D7">
        <v>12800</v>
      </c>
      <c r="E7">
        <v>13518.33927497641</v>
      </c>
      <c r="F7">
        <v>12800</v>
      </c>
      <c r="G7">
        <v>50101.412156116137</v>
      </c>
      <c r="H7">
        <v>26181.935786320701</v>
      </c>
      <c r="I7">
        <v>45459.544911611178</v>
      </c>
      <c r="J7">
        <v>1061704.1889851771</v>
      </c>
      <c r="K7">
        <v>33899.133910047298</v>
      </c>
      <c r="L7">
        <v>28249.279732655312</v>
      </c>
      <c r="M7">
        <v>34491.617357863222</v>
      </c>
      <c r="N7">
        <v>38866.521730017434</v>
      </c>
      <c r="O7">
        <v>34502.427112006641</v>
      </c>
    </row>
    <row r="8" spans="1:15" x14ac:dyDescent="0.25">
      <c r="A8" t="s">
        <v>53</v>
      </c>
      <c r="B8">
        <v>24</v>
      </c>
      <c r="C8">
        <v>8</v>
      </c>
      <c r="D8">
        <v>192</v>
      </c>
      <c r="E8">
        <v>202.77508912464609</v>
      </c>
      <c r="F8">
        <v>192</v>
      </c>
      <c r="G8">
        <v>751.52118234174213</v>
      </c>
      <c r="H8">
        <v>392.72903679481061</v>
      </c>
      <c r="I8">
        <v>681.89317367416777</v>
      </c>
      <c r="J8">
        <v>15925.562834777649</v>
      </c>
      <c r="K8">
        <v>508.48700865070953</v>
      </c>
      <c r="L8">
        <v>423.73919598982968</v>
      </c>
      <c r="M8">
        <v>517.3742603679483</v>
      </c>
      <c r="N8">
        <v>582.99782595026147</v>
      </c>
      <c r="O8">
        <v>517.53640668009962</v>
      </c>
    </row>
    <row r="9" spans="1:15" x14ac:dyDescent="0.25">
      <c r="A9" t="s">
        <v>54</v>
      </c>
      <c r="D9">
        <v>19835</v>
      </c>
      <c r="E9">
        <v>20948.145274934152</v>
      </c>
      <c r="F9">
        <v>19835</v>
      </c>
      <c r="G9">
        <v>77637.617977856527</v>
      </c>
      <c r="H9">
        <v>40571.773150130553</v>
      </c>
      <c r="I9">
        <v>70444.536978266246</v>
      </c>
      <c r="J9">
        <v>1645226.764728202</v>
      </c>
      <c r="K9">
        <v>52530.415711389702</v>
      </c>
      <c r="L9">
        <v>43775.348710720173</v>
      </c>
      <c r="M9">
        <v>53448.533616657573</v>
      </c>
      <c r="N9">
        <v>60227.926446476231</v>
      </c>
      <c r="O9">
        <v>53465.284513019658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OldR</vt:lpstr>
      <vt:lpstr>OldC</vt:lpstr>
      <vt:lpstr>RefCompCost0.55</vt:lpstr>
      <vt:lpstr>CompCost0.55</vt:lpstr>
      <vt:lpstr>RefCompCost0.75</vt:lpstr>
      <vt:lpstr>CompCost0.75</vt:lpstr>
      <vt:lpstr>RefCompCost0.95</vt:lpstr>
      <vt:lpstr>CompCost0.95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Vahid Khorshidi</cp:lastModifiedBy>
  <dcterms:created xsi:type="dcterms:W3CDTF">2025-08-04T09:40:23Z</dcterms:created>
  <dcterms:modified xsi:type="dcterms:W3CDTF">2025-08-06T11:16:21Z</dcterms:modified>
</cp:coreProperties>
</file>